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A\Desktop\sprawko 3\"/>
    </mc:Choice>
  </mc:AlternateContent>
  <xr:revisionPtr revIDLastSave="0" documentId="13_ncr:1_{4EE19736-A456-4592-832D-98E3F311E0AE}" xr6:coauthVersionLast="47" xr6:coauthVersionMax="47" xr10:uidLastSave="{00000000-0000-0000-0000-000000000000}"/>
  <bookViews>
    <workbookView xWindow="28680" yWindow="-120" windowWidth="19665" windowHeight="11760" firstSheet="8" activeTab="11" xr2:uid="{7BE4044D-336C-4C6A-95F2-24176F008215}"/>
  </bookViews>
  <sheets>
    <sheet name="CR naiwna" sheetId="1" r:id="rId1"/>
    <sheet name="CR spamietywanie" sheetId="2" r:id="rId2"/>
    <sheet name="CR iteracyjna" sheetId="3" r:id="rId3"/>
    <sheet name="CR WSZYSTKIE" sheetId="4" r:id="rId4"/>
    <sheet name="LCS iteracyjna" sheetId="5" r:id="rId5"/>
    <sheet name="LCS rekurencyjna" sheetId="6" r:id="rId6"/>
    <sheet name="LCS WSYZSTKIE" sheetId="7" r:id="rId7"/>
    <sheet name="AS dynamiczny" sheetId="8" r:id="rId8"/>
    <sheet name="AS iteracyjny" sheetId="9" r:id="rId9"/>
    <sheet name="AS rekurencyjny" sheetId="10" r:id="rId10"/>
    <sheet name="AS wszystkie" sheetId="11" r:id="rId11"/>
    <sheet name="HUFFMAN wszystki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1" l="1"/>
  <c r="E14" i="11" s="1"/>
  <c r="F14" i="11" s="1"/>
  <c r="G14" i="11" s="1"/>
  <c r="H14" i="11" s="1"/>
  <c r="I14" i="11" s="1"/>
  <c r="J14" i="11" s="1"/>
  <c r="K14" i="11" s="1"/>
  <c r="L14" i="11" s="1"/>
  <c r="D8" i="1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N24" i="9"/>
  <c r="E2" i="1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D2" i="11"/>
  <c r="L35" i="10"/>
  <c r="K35" i="10"/>
  <c r="J35" i="10"/>
  <c r="I35" i="10"/>
  <c r="H35" i="10"/>
  <c r="G35" i="10"/>
  <c r="F35" i="10"/>
  <c r="E35" i="10"/>
  <c r="D35" i="10"/>
  <c r="C35" i="10"/>
  <c r="B35" i="10"/>
  <c r="L24" i="10"/>
  <c r="K24" i="10"/>
  <c r="J24" i="10"/>
  <c r="I24" i="10"/>
  <c r="H24" i="10"/>
  <c r="G24" i="10"/>
  <c r="F24" i="10"/>
  <c r="E24" i="10"/>
  <c r="D24" i="10"/>
  <c r="C24" i="10"/>
  <c r="B24" i="10"/>
  <c r="L13" i="10"/>
  <c r="K13" i="10"/>
  <c r="J13" i="10"/>
  <c r="I13" i="10"/>
  <c r="H13" i="10"/>
  <c r="G13" i="10"/>
  <c r="F13" i="10"/>
  <c r="E13" i="10"/>
  <c r="D13" i="10"/>
  <c r="C13" i="10"/>
  <c r="B13" i="10"/>
  <c r="F2" i="10"/>
  <c r="G2" i="10" s="1"/>
  <c r="H2" i="10" s="1"/>
  <c r="I2" i="10" s="1"/>
  <c r="J2" i="10" s="1"/>
  <c r="K2" i="10" s="1"/>
  <c r="L2" i="10" s="1"/>
  <c r="E2" i="10"/>
  <c r="D2" i="10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O24" i="9"/>
  <c r="M24" i="9"/>
  <c r="L24" i="9"/>
  <c r="K24" i="9"/>
  <c r="J24" i="9"/>
  <c r="I24" i="9"/>
  <c r="H24" i="9"/>
  <c r="G24" i="9"/>
  <c r="F24" i="9"/>
  <c r="E24" i="9"/>
  <c r="D24" i="9"/>
  <c r="C24" i="9"/>
  <c r="B24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B35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B24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B13" i="8"/>
  <c r="O2" i="8"/>
  <c r="N2" i="8"/>
  <c r="D2" i="8"/>
  <c r="E2" i="8" s="1"/>
  <c r="F2" i="8" s="1"/>
  <c r="G2" i="8" s="1"/>
  <c r="H2" i="8" s="1"/>
  <c r="I2" i="8" s="1"/>
  <c r="J2" i="8" s="1"/>
  <c r="K2" i="8" s="1"/>
  <c r="L2" i="8" s="1"/>
  <c r="M2" i="8" s="1"/>
  <c r="E9" i="7"/>
  <c r="F9" i="7" s="1"/>
  <c r="G9" i="7" s="1"/>
  <c r="H9" i="7" s="1"/>
  <c r="I9" i="7" s="1"/>
  <c r="D9" i="7"/>
  <c r="D2" i="7"/>
  <c r="E2" i="7" s="1"/>
  <c r="F2" i="7" s="1"/>
  <c r="G2" i="7" s="1"/>
  <c r="H2" i="7" s="1"/>
  <c r="I2" i="7" s="1"/>
  <c r="J2" i="7" s="1"/>
  <c r="K2" i="7" s="1"/>
  <c r="L2" i="7" s="1"/>
  <c r="M2" i="7" s="1"/>
  <c r="B13" i="6"/>
  <c r="C13" i="6"/>
  <c r="D13" i="6"/>
  <c r="E13" i="6"/>
  <c r="F13" i="6"/>
  <c r="G13" i="6"/>
  <c r="H13" i="6"/>
  <c r="I13" i="6"/>
  <c r="B24" i="6"/>
  <c r="C24" i="6"/>
  <c r="D24" i="6"/>
  <c r="E24" i="6"/>
  <c r="F24" i="6"/>
  <c r="G24" i="6"/>
  <c r="H24" i="6"/>
  <c r="I24" i="6"/>
  <c r="B35" i="6"/>
  <c r="C35" i="6"/>
  <c r="D35" i="6"/>
  <c r="E35" i="6"/>
  <c r="F35" i="6"/>
  <c r="G35" i="6"/>
  <c r="H35" i="6"/>
  <c r="I35" i="6"/>
  <c r="B46" i="6"/>
  <c r="C46" i="6"/>
  <c r="D46" i="6"/>
  <c r="E46" i="6"/>
  <c r="F46" i="6"/>
  <c r="G46" i="6"/>
  <c r="H46" i="6"/>
  <c r="I46" i="6"/>
  <c r="F2" i="6"/>
  <c r="G2" i="6" s="1"/>
  <c r="H2" i="6" s="1"/>
  <c r="I2" i="6" s="1"/>
  <c r="E2" i="6"/>
  <c r="D2" i="6"/>
  <c r="C46" i="5"/>
  <c r="D46" i="5"/>
  <c r="E46" i="5"/>
  <c r="F46" i="5"/>
  <c r="G46" i="5"/>
  <c r="H46" i="5"/>
  <c r="I46" i="5"/>
  <c r="J46" i="5"/>
  <c r="K46" i="5"/>
  <c r="L46" i="5"/>
  <c r="M46" i="5"/>
  <c r="B46" i="5"/>
  <c r="C35" i="5"/>
  <c r="D35" i="5"/>
  <c r="E35" i="5"/>
  <c r="F35" i="5"/>
  <c r="G35" i="5"/>
  <c r="H35" i="5"/>
  <c r="I35" i="5"/>
  <c r="J35" i="5"/>
  <c r="K35" i="5"/>
  <c r="L35" i="5"/>
  <c r="M35" i="5"/>
  <c r="B35" i="5"/>
  <c r="C24" i="5"/>
  <c r="D24" i="5"/>
  <c r="E24" i="5"/>
  <c r="F24" i="5"/>
  <c r="G24" i="5"/>
  <c r="H24" i="5"/>
  <c r="I24" i="5"/>
  <c r="J24" i="5"/>
  <c r="K24" i="5"/>
  <c r="L24" i="5"/>
  <c r="M24" i="5"/>
  <c r="B24" i="5"/>
  <c r="C13" i="5"/>
  <c r="D13" i="5"/>
  <c r="E13" i="5"/>
  <c r="F13" i="5"/>
  <c r="G13" i="5"/>
  <c r="H13" i="5"/>
  <c r="I13" i="5"/>
  <c r="J13" i="5"/>
  <c r="K13" i="5"/>
  <c r="L13" i="5"/>
  <c r="M13" i="5"/>
  <c r="B13" i="5"/>
  <c r="D2" i="5"/>
  <c r="E2" i="5" s="1"/>
  <c r="F2" i="5" s="1"/>
  <c r="G2" i="5" s="1"/>
  <c r="H2" i="5" s="1"/>
  <c r="I2" i="5" s="1"/>
  <c r="J2" i="5" s="1"/>
  <c r="K2" i="5" s="1"/>
  <c r="L2" i="5" s="1"/>
  <c r="M2" i="5" s="1"/>
  <c r="P18" i="4"/>
  <c r="Q18" i="4" s="1"/>
  <c r="AL5" i="3"/>
  <c r="AK5" i="3"/>
  <c r="Z13" i="1"/>
  <c r="Q13" i="1"/>
  <c r="Q24" i="1"/>
  <c r="H24" i="1"/>
  <c r="H13" i="1"/>
  <c r="P57" i="3"/>
  <c r="Q57" i="3"/>
  <c r="P46" i="3"/>
  <c r="Q46" i="3"/>
  <c r="P35" i="3"/>
  <c r="Q35" i="3"/>
  <c r="P24" i="3"/>
  <c r="Q24" i="3"/>
  <c r="P13" i="3"/>
  <c r="Q13" i="3"/>
  <c r="Q2" i="3"/>
  <c r="P2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B2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B3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B4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B57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B13" i="2"/>
  <c r="U13" i="1"/>
  <c r="V13" i="1"/>
  <c r="W13" i="1"/>
  <c r="X13" i="1"/>
  <c r="Y13" i="1"/>
  <c r="T13" i="1"/>
  <c r="L24" i="1"/>
  <c r="M24" i="1"/>
  <c r="N24" i="1"/>
  <c r="O24" i="1"/>
  <c r="P24" i="1"/>
  <c r="K24" i="1"/>
  <c r="L13" i="1"/>
  <c r="M13" i="1"/>
  <c r="N13" i="1"/>
  <c r="O13" i="1"/>
  <c r="P13" i="1"/>
  <c r="K13" i="1"/>
  <c r="C24" i="1"/>
  <c r="D24" i="1"/>
  <c r="E24" i="1"/>
  <c r="F24" i="1"/>
  <c r="G24" i="1"/>
  <c r="B24" i="1"/>
  <c r="C13" i="1"/>
  <c r="D13" i="1"/>
  <c r="E13" i="1"/>
  <c r="F13" i="1"/>
  <c r="G13" i="1"/>
  <c r="B13" i="1"/>
</calcChain>
</file>

<file path=xl/sharedStrings.xml><?xml version="1.0" encoding="utf-8"?>
<sst xmlns="http://schemas.openxmlformats.org/spreadsheetml/2006/main" count="428" uniqueCount="40">
  <si>
    <t>CUT ROD NAIWNA</t>
  </si>
  <si>
    <t>CZAS TAKIE SAME</t>
  </si>
  <si>
    <t>CZAS LOSOWE</t>
  </si>
  <si>
    <t>CZAS ROSNACE</t>
  </si>
  <si>
    <t>CZAS MALEJACE</t>
  </si>
  <si>
    <t>CZAS GEOMETRYCZNE</t>
  </si>
  <si>
    <t>cr spamietywanie</t>
  </si>
  <si>
    <t>cr iteracyjna</t>
  </si>
  <si>
    <t>MEDIANA TAKIE SAME:</t>
  </si>
  <si>
    <t>MEDIANA LOSOWE:</t>
  </si>
  <si>
    <t>MEDIANA ROSNACE:</t>
  </si>
  <si>
    <t xml:space="preserve">MEDIANA MALEJACE: </t>
  </si>
  <si>
    <t>MEDIANA GEOMETRYCZNE:</t>
  </si>
  <si>
    <t>NAIWNA</t>
  </si>
  <si>
    <t>ZE SPAMIETYWANIEM</t>
  </si>
  <si>
    <t>ITERACYJNA</t>
  </si>
  <si>
    <t>LCS rekurencyjna</t>
  </si>
  <si>
    <t>CZAS IDENTYCZNE</t>
  </si>
  <si>
    <t>MEDIANA IDENTYCZNE:</t>
  </si>
  <si>
    <t>CZAS RÓŻNE</t>
  </si>
  <si>
    <t>CZAS PODOBNE</t>
  </si>
  <si>
    <t>MEDIANA PODOBNE</t>
  </si>
  <si>
    <t>LCS iteracyjna</t>
  </si>
  <si>
    <t>MEDIANA ROZNE:</t>
  </si>
  <si>
    <t>MEDIAN LOSOWE</t>
  </si>
  <si>
    <t>ITERACYJNIE</t>
  </si>
  <si>
    <t>REKURENCYJNIE</t>
  </si>
  <si>
    <t>AS dynamiczny</t>
  </si>
  <si>
    <t>CZAS NIE POKRYWAJACE</t>
  </si>
  <si>
    <t>MEDIANA NIE POKRYWAJACE</t>
  </si>
  <si>
    <t>CZAS CALKOWICIE POKRYWAJACE</t>
  </si>
  <si>
    <t>MEDIANA CALKOWICIE POKRYWAJACE</t>
  </si>
  <si>
    <t xml:space="preserve">MEDIANA LOSOWE </t>
  </si>
  <si>
    <t>AS iteracyjny</t>
  </si>
  <si>
    <t>AS rekurencyjny</t>
  </si>
  <si>
    <t>DYNAMICZNIE</t>
  </si>
  <si>
    <t>ITERACYJNE</t>
  </si>
  <si>
    <t>REKURENCYJNE</t>
  </si>
  <si>
    <t>HUFFMAN I HUFFMAN TERNARNY</t>
  </si>
  <si>
    <t xml:space="preserve">czas dla kazdego rozmiaru wyszedl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</si>
</sst>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wersji naiwnej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 WSZYSTKIE'!$A$3</c:f>
              <c:strCache>
                <c:ptCount val="1"/>
                <c:pt idx="0">
                  <c:v>MEDIANA TAKIE SAME: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 WSZYSTKIE'!$B$2:$H$2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'CR WSZYSTKIE'!$B$3:$H$3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138</c:v>
                </c:pt>
                <c:pt idx="6">
                  <c:v>2137.5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1-40F2-A63E-EB5D10982369}"/>
            </c:ext>
          </c:extLst>
        </c:ser>
        <c:ser>
          <c:idx val="1"/>
          <c:order val="1"/>
          <c:tx>
            <c:strRef>
              <c:f>'CR WSZYSTKIE'!$A$4</c:f>
              <c:strCache>
                <c:ptCount val="1"/>
                <c:pt idx="0">
                  <c:v>MEDIANA LOSOWE: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 WSZYSTKIE'!$B$2:$H$2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'CR WSZYSTKIE'!$B$4:$H$4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134</c:v>
                </c:pt>
                <c:pt idx="6">
                  <c:v>2126.5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1-40F2-A63E-EB5D10982369}"/>
            </c:ext>
          </c:extLst>
        </c:ser>
        <c:ser>
          <c:idx val="2"/>
          <c:order val="2"/>
          <c:tx>
            <c:strRef>
              <c:f>'CR WSZYSTKIE'!$A$5</c:f>
              <c:strCache>
                <c:ptCount val="1"/>
                <c:pt idx="0">
                  <c:v>MEDIANA ROSNACE: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 WSZYSTKIE'!$B$2:$H$2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'CR WSZYSTKIE'!$B$5:$H$5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7.5</c:v>
                </c:pt>
                <c:pt idx="5">
                  <c:v>134</c:v>
                </c:pt>
                <c:pt idx="6">
                  <c:v>2137.5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1-40F2-A63E-EB5D10982369}"/>
            </c:ext>
          </c:extLst>
        </c:ser>
        <c:ser>
          <c:idx val="3"/>
          <c:order val="3"/>
          <c:tx>
            <c:strRef>
              <c:f>'CR WSZYSTKIE'!$A$6</c:f>
              <c:strCache>
                <c:ptCount val="1"/>
                <c:pt idx="0">
                  <c:v>MEDIANA MALEJACE: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 WSZYSTKIE'!$B$2:$H$2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'CR WSZYSTKIE'!$B$6:$H$6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132</c:v>
                </c:pt>
                <c:pt idx="6">
                  <c:v>2136.5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1-40F2-A63E-EB5D10982369}"/>
            </c:ext>
          </c:extLst>
        </c:ser>
        <c:ser>
          <c:idx val="4"/>
          <c:order val="4"/>
          <c:tx>
            <c:strRef>
              <c:f>'CR WSZYSTKIE'!$A$7</c:f>
              <c:strCache>
                <c:ptCount val="1"/>
                <c:pt idx="0">
                  <c:v>MEDIANA GEOMETRYCZNE: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'CR WSZYSTKIE'!$B$2:$H$2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'CR WSZYSTKIE'!$B$7:$H$7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143</c:v>
                </c:pt>
                <c:pt idx="6">
                  <c:v>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1-40F2-A63E-EB5D1098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41919"/>
        <c:axId val="845235199"/>
      </c:scatterChart>
      <c:valAx>
        <c:axId val="84524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5235199"/>
        <c:crosses val="autoZero"/>
        <c:crossBetween val="midCat"/>
      </c:valAx>
      <c:valAx>
        <c:axId val="8452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524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 wersji ze spamiętywaniem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 WSZYSTKIE'!$A$11</c:f>
              <c:strCache>
                <c:ptCount val="1"/>
                <c:pt idx="0">
                  <c:v>MEDIANA TAKIE SAME: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 WSZYSTKIE'!$J$10:$O$10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'CR WSZYSTKIE'!$J$11:$O$11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12</c:v>
                </c:pt>
                <c:pt idx="3">
                  <c:v>45</c:v>
                </c:pt>
                <c:pt idx="4">
                  <c:v>181.5</c:v>
                </c:pt>
                <c:pt idx="5">
                  <c:v>725.5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6-45E7-B9F4-8AAFF548BC83}"/>
            </c:ext>
          </c:extLst>
        </c:ser>
        <c:ser>
          <c:idx val="1"/>
          <c:order val="1"/>
          <c:tx>
            <c:strRef>
              <c:f>'CR WSZYSTKIE'!$A$12</c:f>
              <c:strCache>
                <c:ptCount val="1"/>
                <c:pt idx="0">
                  <c:v>MEDIANA LOSOWE: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 WSZYSTKIE'!$J$10:$O$10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'CR WSZYSTKIE'!$J$12:$O$12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45</c:v>
                </c:pt>
                <c:pt idx="4">
                  <c:v>182</c:v>
                </c:pt>
                <c:pt idx="5">
                  <c:v>730.5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06-45E7-B9F4-8AAFF548BC83}"/>
            </c:ext>
          </c:extLst>
        </c:ser>
        <c:ser>
          <c:idx val="2"/>
          <c:order val="2"/>
          <c:tx>
            <c:strRef>
              <c:f>'CR WSZYSTKIE'!$A$13</c:f>
              <c:strCache>
                <c:ptCount val="1"/>
                <c:pt idx="0">
                  <c:v>MEDIANA ROSNACE: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 WSZYSTKIE'!$J$10:$O$10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'CR WSZYSTKIE'!$J$13:$O$13</c:f>
              <c:numCache>
                <c:formatCode>General</c:formatCode>
                <c:ptCount val="6"/>
                <c:pt idx="0">
                  <c:v>0</c:v>
                </c:pt>
                <c:pt idx="1">
                  <c:v>2.5</c:v>
                </c:pt>
                <c:pt idx="2">
                  <c:v>11</c:v>
                </c:pt>
                <c:pt idx="3">
                  <c:v>53</c:v>
                </c:pt>
                <c:pt idx="4">
                  <c:v>182</c:v>
                </c:pt>
                <c:pt idx="5">
                  <c:v>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06-45E7-B9F4-8AAFF548BC83}"/>
            </c:ext>
          </c:extLst>
        </c:ser>
        <c:ser>
          <c:idx val="3"/>
          <c:order val="3"/>
          <c:tx>
            <c:strRef>
              <c:f>'CR WSZYSTKIE'!$A$14</c:f>
              <c:strCache>
                <c:ptCount val="1"/>
                <c:pt idx="0">
                  <c:v>MEDIANA MALEJACE: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 WSZYSTKIE'!$J$10:$O$10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'CR WSZYSTKIE'!$J$14:$O$14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12</c:v>
                </c:pt>
                <c:pt idx="3">
                  <c:v>45.5</c:v>
                </c:pt>
                <c:pt idx="4">
                  <c:v>182</c:v>
                </c:pt>
                <c:pt idx="5">
                  <c:v>744.5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06-45E7-B9F4-8AAFF548BC83}"/>
            </c:ext>
          </c:extLst>
        </c:ser>
        <c:ser>
          <c:idx val="4"/>
          <c:order val="4"/>
          <c:tx>
            <c:strRef>
              <c:f>'CR WSZYSTKIE'!$A$15</c:f>
              <c:strCache>
                <c:ptCount val="1"/>
                <c:pt idx="0">
                  <c:v>MEDIANA GEOMETRYCZNE: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'CR WSZYSTKIE'!$J$10:$O$10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'CR WSZYSTKIE'!$J$15:$O$15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10.5</c:v>
                </c:pt>
                <c:pt idx="3">
                  <c:v>45</c:v>
                </c:pt>
                <c:pt idx="4">
                  <c:v>183</c:v>
                </c:pt>
                <c:pt idx="5">
                  <c:v>728.5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06-45E7-B9F4-8AAFF548B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608543"/>
        <c:axId val="823607583"/>
      </c:scatterChart>
      <c:valAx>
        <c:axId val="82360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3607583"/>
        <c:crosses val="autoZero"/>
        <c:crossBetween val="midCat"/>
      </c:valAx>
      <c:valAx>
        <c:axId val="8236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360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wersji iteracyjnej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 WSZYSTKIE'!$A$19</c:f>
              <c:strCache>
                <c:ptCount val="1"/>
                <c:pt idx="0">
                  <c:v>MEDIANA TAKIE SAME: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 WSZYSTKIE'!$J$18:$Q$18</c:f>
              <c:numCache>
                <c:formatCode>General</c:formatCode>
                <c:ptCount val="8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</c:numCache>
            </c:numRef>
          </c:xVal>
          <c:yVal>
            <c:numRef>
              <c:f>'CR WSZYSTKIE'!$J$19:$Q$19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20.5</c:v>
                </c:pt>
                <c:pt idx="4">
                  <c:v>83.5</c:v>
                </c:pt>
                <c:pt idx="5">
                  <c:v>334</c:v>
                </c:pt>
                <c:pt idx="6">
                  <c:v>1354</c:v>
                </c:pt>
                <c:pt idx="7">
                  <c:v>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3-4580-86C1-13CC40E7A55E}"/>
            </c:ext>
          </c:extLst>
        </c:ser>
        <c:ser>
          <c:idx val="1"/>
          <c:order val="1"/>
          <c:tx>
            <c:strRef>
              <c:f>'CR WSZYSTKIE'!$A$20</c:f>
              <c:strCache>
                <c:ptCount val="1"/>
                <c:pt idx="0">
                  <c:v>MEDIANA LOSOWE: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 WSZYSTKIE'!$J$18:$Q$18</c:f>
              <c:numCache>
                <c:formatCode>General</c:formatCode>
                <c:ptCount val="8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</c:numCache>
            </c:numRef>
          </c:xVal>
          <c:yVal>
            <c:numRef>
              <c:f>'CR WSZYSTKIE'!$J$20:$Q$20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21.5</c:v>
                </c:pt>
                <c:pt idx="4">
                  <c:v>95</c:v>
                </c:pt>
                <c:pt idx="5">
                  <c:v>352</c:v>
                </c:pt>
                <c:pt idx="6">
                  <c:v>1336</c:v>
                </c:pt>
                <c:pt idx="7">
                  <c:v>5578.5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3-4580-86C1-13CC40E7A55E}"/>
            </c:ext>
          </c:extLst>
        </c:ser>
        <c:ser>
          <c:idx val="2"/>
          <c:order val="2"/>
          <c:tx>
            <c:strRef>
              <c:f>'CR WSZYSTKIE'!$A$21</c:f>
              <c:strCache>
                <c:ptCount val="1"/>
                <c:pt idx="0">
                  <c:v>MEDIANA ROSNACE: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 WSZYSTKIE'!$J$18:$Q$18</c:f>
              <c:numCache>
                <c:formatCode>General</c:formatCode>
                <c:ptCount val="8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</c:numCache>
            </c:numRef>
          </c:xVal>
          <c:yVal>
            <c:numRef>
              <c:f>'CR WSZYSTKIE'!$J$21:$Q$21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5</c:v>
                </c:pt>
                <c:pt idx="3">
                  <c:v>21</c:v>
                </c:pt>
                <c:pt idx="4">
                  <c:v>84.5</c:v>
                </c:pt>
                <c:pt idx="5">
                  <c:v>339.5</c:v>
                </c:pt>
                <c:pt idx="6">
                  <c:v>1369</c:v>
                </c:pt>
                <c:pt idx="7">
                  <c:v>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13-4580-86C1-13CC40E7A55E}"/>
            </c:ext>
          </c:extLst>
        </c:ser>
        <c:ser>
          <c:idx val="3"/>
          <c:order val="3"/>
          <c:tx>
            <c:strRef>
              <c:f>'CR WSZYSTKIE'!$A$22</c:f>
              <c:strCache>
                <c:ptCount val="1"/>
                <c:pt idx="0">
                  <c:v>MEDIANA MALEJACE: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 WSZYSTKIE'!$J$18:$Q$18</c:f>
              <c:numCache>
                <c:formatCode>General</c:formatCode>
                <c:ptCount val="8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</c:numCache>
            </c:numRef>
          </c:xVal>
          <c:yVal>
            <c:numRef>
              <c:f>'CR WSZYSTKIE'!$J$22:$Q$22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21</c:v>
                </c:pt>
                <c:pt idx="4">
                  <c:v>83</c:v>
                </c:pt>
                <c:pt idx="5">
                  <c:v>344</c:v>
                </c:pt>
                <c:pt idx="6">
                  <c:v>1382</c:v>
                </c:pt>
                <c:pt idx="7">
                  <c:v>5452.5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13-4580-86C1-13CC40E7A55E}"/>
            </c:ext>
          </c:extLst>
        </c:ser>
        <c:ser>
          <c:idx val="4"/>
          <c:order val="4"/>
          <c:tx>
            <c:strRef>
              <c:f>'CR WSZYSTKIE'!$A$23</c:f>
              <c:strCache>
                <c:ptCount val="1"/>
                <c:pt idx="0">
                  <c:v>MEDIANA GEOMETRYCZNE: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'CR WSZYSTKIE'!$J$18:$Q$18</c:f>
              <c:numCache>
                <c:formatCode>General</c:formatCode>
                <c:ptCount val="8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</c:numCache>
            </c:numRef>
          </c:xVal>
          <c:yVal>
            <c:numRef>
              <c:f>'CR WSZYSTKIE'!$J$23:$Q$23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5</c:v>
                </c:pt>
                <c:pt idx="3">
                  <c:v>21</c:v>
                </c:pt>
                <c:pt idx="4">
                  <c:v>83</c:v>
                </c:pt>
                <c:pt idx="5">
                  <c:v>336</c:v>
                </c:pt>
                <c:pt idx="6">
                  <c:v>1387.5</c:v>
                </c:pt>
                <c:pt idx="7">
                  <c:v>5434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13-4580-86C1-13CC40E7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591743"/>
        <c:axId val="823592223"/>
      </c:scatterChart>
      <c:valAx>
        <c:axId val="82359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3592223"/>
        <c:crosses val="autoZero"/>
        <c:crossBetween val="midCat"/>
      </c:valAx>
      <c:valAx>
        <c:axId val="8235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3591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 wersji rekurencyjnej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'LCS WSYZSTKIE'!$A$10</c:f>
              <c:strCache>
                <c:ptCount val="1"/>
                <c:pt idx="0">
                  <c:v>MEDIANA IDENTYCZNE: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'LCS WSYZSTKIE'!$B$10:$I$10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4</c:v>
                </c:pt>
                <c:pt idx="7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C-4B2D-96C6-2ECDF61DD636}"/>
            </c:ext>
          </c:extLst>
        </c:ser>
        <c:ser>
          <c:idx val="1"/>
          <c:order val="1"/>
          <c:tx>
            <c:strRef>
              <c:f>'LCS WSYZSTKIE'!$A$11</c:f>
              <c:strCache>
                <c:ptCount val="1"/>
                <c:pt idx="0">
                  <c:v>MEDIANA ROZNE: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'LCS WSYZSTKIE'!$B$11:$I$11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4</c:v>
                </c:pt>
                <c:pt idx="7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C-4B2D-96C6-2ECDF61DD636}"/>
            </c:ext>
          </c:extLst>
        </c:ser>
        <c:ser>
          <c:idx val="2"/>
          <c:order val="2"/>
          <c:tx>
            <c:strRef>
              <c:f>'LCS WSYZSTKIE'!$A$12</c:f>
              <c:strCache>
                <c:ptCount val="1"/>
                <c:pt idx="0">
                  <c:v>MEDIAN LOSOWE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'LCS WSYZSTKIE'!$B$12:$I$12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24.5</c:v>
                </c:pt>
                <c:pt idx="5">
                  <c:v>111</c:v>
                </c:pt>
                <c:pt idx="6">
                  <c:v>468.5</c:v>
                </c:pt>
                <c:pt idx="7">
                  <c:v>4513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3C-4B2D-96C6-2ECDF61DD636}"/>
            </c:ext>
          </c:extLst>
        </c:ser>
        <c:ser>
          <c:idx val="3"/>
          <c:order val="3"/>
          <c:tx>
            <c:strRef>
              <c:f>'LCS WSYZSTKIE'!$A$13</c:f>
              <c:strCache>
                <c:ptCount val="1"/>
                <c:pt idx="0">
                  <c:v>MEDIANA PODOBNE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'LCS WSYZSTKIE'!$B$13:$I$13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3C-4B2D-96C6-2ECDF61D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53856"/>
        <c:axId val="2683543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'LCS WSYZSTKIE'!$B$9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'LCS WSYZSTKIE'!$C$9:$I$9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32</c:v>
                      </c:pt>
                      <c:pt idx="1">
                        <c:v>64</c:v>
                      </c:pt>
                      <c:pt idx="2">
                        <c:v>128</c:v>
                      </c:pt>
                      <c:pt idx="3">
                        <c:v>256</c:v>
                      </c:pt>
                      <c:pt idx="4">
                        <c:v>512</c:v>
                      </c:pt>
                      <c:pt idx="5">
                        <c:v>1024</c:v>
                      </c:pt>
                      <c:pt idx="6">
                        <c:v>2048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23C-4B2D-96C6-2ECDF61DD636}"/>
                  </c:ext>
                </c:extLst>
              </c15:ser>
            </c15:filteredScatterSeries>
          </c:ext>
        </c:extLst>
      </c:scatterChart>
      <c:valAx>
        <c:axId val="26835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8354336"/>
        <c:crosses val="autoZero"/>
        <c:crossBetween val="midCat"/>
      </c:valAx>
      <c:valAx>
        <c:axId val="2683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835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 wersji iteracyjnej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'LCS WSYZSTKIE'!$A$3</c:f>
              <c:strCache>
                <c:ptCount val="1"/>
                <c:pt idx="0">
                  <c:v>MEDIANA IDENTYCZNE: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'LCS WSYZSTKIE'!$B$2:$M$2</c:f>
              <c:numCache>
                <c:formatCode>General</c:formatCode>
                <c:ptCount val="12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</c:numCache>
            </c:numRef>
          </c:xVal>
          <c:yVal>
            <c:numRef>
              <c:f>'LCS WSYZSTKIE'!$B$3:$M$3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5.5</c:v>
                </c:pt>
                <c:pt idx="7">
                  <c:v>25</c:v>
                </c:pt>
                <c:pt idx="8">
                  <c:v>115</c:v>
                </c:pt>
                <c:pt idx="9">
                  <c:v>531</c:v>
                </c:pt>
                <c:pt idx="10">
                  <c:v>2121.5</c:v>
                </c:pt>
                <c:pt idx="11">
                  <c:v>8802.5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D-434D-96A5-9B8C9F436112}"/>
            </c:ext>
          </c:extLst>
        </c:ser>
        <c:ser>
          <c:idx val="1"/>
          <c:order val="1"/>
          <c:tx>
            <c:strRef>
              <c:f>'LCS WSYZSTKIE'!$A$4</c:f>
              <c:strCache>
                <c:ptCount val="1"/>
                <c:pt idx="0">
                  <c:v>MEDIANA ROZNE: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'LCS WSYZSTKIE'!$B$2:$M$2</c:f>
              <c:numCache>
                <c:formatCode>General</c:formatCode>
                <c:ptCount val="12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</c:numCache>
            </c:numRef>
          </c:xVal>
          <c:yVal>
            <c:numRef>
              <c:f>'LCS WSYZSTKIE'!$B$4:$M$4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8</c:v>
                </c:pt>
                <c:pt idx="7">
                  <c:v>34.5</c:v>
                </c:pt>
                <c:pt idx="8">
                  <c:v>138.5</c:v>
                </c:pt>
                <c:pt idx="9">
                  <c:v>617</c:v>
                </c:pt>
                <c:pt idx="10">
                  <c:v>2686</c:v>
                </c:pt>
                <c:pt idx="11">
                  <c:v>10151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D-434D-96A5-9B8C9F436112}"/>
            </c:ext>
          </c:extLst>
        </c:ser>
        <c:ser>
          <c:idx val="2"/>
          <c:order val="2"/>
          <c:tx>
            <c:strRef>
              <c:f>'LCS WSYZSTKIE'!$A$5</c:f>
              <c:strCache>
                <c:ptCount val="1"/>
                <c:pt idx="0">
                  <c:v>MEDIAN LOSOWE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'LCS WSYZSTKIE'!$B$2:$M$2</c:f>
              <c:numCache>
                <c:formatCode>General</c:formatCode>
                <c:ptCount val="12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</c:numCache>
            </c:numRef>
          </c:xVal>
          <c:yVal>
            <c:numRef>
              <c:f>'LCS WSYZSTKIE'!$B$5:$M$5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9</c:v>
                </c:pt>
                <c:pt idx="7">
                  <c:v>41.5</c:v>
                </c:pt>
                <c:pt idx="8">
                  <c:v>147.5</c:v>
                </c:pt>
                <c:pt idx="9">
                  <c:v>596</c:v>
                </c:pt>
                <c:pt idx="10">
                  <c:v>2684.5</c:v>
                </c:pt>
                <c:pt idx="11">
                  <c:v>10635.5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8D-434D-96A5-9B8C9F436112}"/>
            </c:ext>
          </c:extLst>
        </c:ser>
        <c:ser>
          <c:idx val="3"/>
          <c:order val="3"/>
          <c:tx>
            <c:strRef>
              <c:f>'LCS WSYZSTKIE'!$A$6</c:f>
              <c:strCache>
                <c:ptCount val="1"/>
                <c:pt idx="0">
                  <c:v>MEDIANA PODOBNE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'LCS WSYZSTKIE'!$B$2:$M$2</c:f>
              <c:numCache>
                <c:formatCode>General</c:formatCode>
                <c:ptCount val="12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</c:numCache>
            </c:numRef>
          </c:xVal>
          <c:yVal>
            <c:numRef>
              <c:f>'LCS WSYZSTKIE'!$B$6:$M$6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11</c:v>
                </c:pt>
                <c:pt idx="7">
                  <c:v>46</c:v>
                </c:pt>
                <c:pt idx="8">
                  <c:v>178</c:v>
                </c:pt>
                <c:pt idx="9">
                  <c:v>764.5</c:v>
                </c:pt>
                <c:pt idx="10">
                  <c:v>3193</c:v>
                </c:pt>
                <c:pt idx="11">
                  <c:v>12913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8D-434D-96A5-9B8C9F436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21232"/>
        <c:axId val="422994192"/>
      </c:scatterChart>
      <c:valAx>
        <c:axId val="2604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2994192"/>
        <c:crosses val="autoZero"/>
        <c:crossBetween val="midCat"/>
      </c:valAx>
      <c:valAx>
        <c:axId val="4229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042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programowania dynamicznego</a:t>
            </a:r>
            <a:endParaRPr lang="pl-PL"/>
          </a:p>
        </c:rich>
      </c:tx>
      <c:layout>
        <c:manualLayout>
          <c:xMode val="edge"/>
          <c:yMode val="edge"/>
          <c:x val="0.16883695047301059"/>
          <c:y val="3.2452610090405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 wszystkie'!$Q$3</c:f>
              <c:strCache>
                <c:ptCount val="1"/>
                <c:pt idx="0">
                  <c:v>MEDIANA NIE POKRYWAJACE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 wszystkie'!$R$2:$Y$2</c:f>
              <c:numCache>
                <c:formatCode>General</c:formatCode>
                <c:ptCount val="8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</c:numCache>
            </c:numRef>
          </c:xVal>
          <c:yVal>
            <c:numRef>
              <c:f>'AS wszystkie'!$R$3:$Y$3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D-4113-9058-32A8894C61A0}"/>
            </c:ext>
          </c:extLst>
        </c:ser>
        <c:ser>
          <c:idx val="1"/>
          <c:order val="1"/>
          <c:tx>
            <c:strRef>
              <c:f>'AS wszystkie'!$Q$4</c:f>
              <c:strCache>
                <c:ptCount val="1"/>
                <c:pt idx="0">
                  <c:v>MEDIANA CALKOWICIE POKRYWAJACE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'AS wszystkie'!$R$2:$Y$2</c:f>
              <c:numCache>
                <c:formatCode>General</c:formatCode>
                <c:ptCount val="8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</c:numCache>
            </c:numRef>
          </c:xVal>
          <c:yVal>
            <c:numRef>
              <c:f>'AS wszystkie'!$R$4:$Y$4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19</c:v>
                </c:pt>
                <c:pt idx="3">
                  <c:v>76</c:v>
                </c:pt>
                <c:pt idx="4">
                  <c:v>304</c:v>
                </c:pt>
                <c:pt idx="5">
                  <c:v>1260.5</c:v>
                </c:pt>
                <c:pt idx="6">
                  <c:v>5200.5</c:v>
                </c:pt>
                <c:pt idx="7">
                  <c:v>20866.5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D-4113-9058-32A8894C61A0}"/>
            </c:ext>
          </c:extLst>
        </c:ser>
        <c:ser>
          <c:idx val="2"/>
          <c:order val="2"/>
          <c:tx>
            <c:strRef>
              <c:f>'AS wszystkie'!$Q$5</c:f>
              <c:strCache>
                <c:ptCount val="1"/>
                <c:pt idx="0">
                  <c:v>MEDIANA LOSOWE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'AS wszystkie'!$R$2:$Y$2</c:f>
              <c:numCache>
                <c:formatCode>General</c:formatCode>
                <c:ptCount val="8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</c:numCache>
            </c:numRef>
          </c:xVal>
          <c:yVal>
            <c:numRef>
              <c:f>'AS wszystkie'!$R$5:$Y$5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13</c:v>
                </c:pt>
                <c:pt idx="6">
                  <c:v>51</c:v>
                </c:pt>
                <c:pt idx="7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D-4113-9058-32A8894C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31440"/>
        <c:axId val="203622032"/>
      </c:scatterChart>
      <c:valAx>
        <c:axId val="12373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22032"/>
        <c:crosses val="autoZero"/>
        <c:crossBetween val="midCat"/>
      </c:valAx>
      <c:valAx>
        <c:axId val="20362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73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549090</xdr:colOff>
      <xdr:row>24</xdr:row>
      <xdr:rowOff>83260</xdr:rowOff>
    </xdr:from>
    <xdr:to>
      <xdr:col>7</xdr:col>
      <xdr:colOff>267036</xdr:colOff>
      <xdr:row>41</xdr:row>
      <xdr:rowOff>57934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D5669587-7775-DB75-C62E-734C61BA2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474457</xdr:colOff>
      <xdr:row>24</xdr:row>
      <xdr:rowOff>113291</xdr:rowOff>
    </xdr:from>
    <xdr:to>
      <xdr:col>15</xdr:col>
      <xdr:colOff>201706</xdr:colOff>
      <xdr:row>39</xdr:row>
      <xdr:rowOff>150158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B25D7C16-04A3-0F41-DBE5-7437A9353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129266</xdr:colOff>
      <xdr:row>42</xdr:row>
      <xdr:rowOff>96067</xdr:rowOff>
    </xdr:from>
    <xdr:to>
      <xdr:col>10</xdr:col>
      <xdr:colOff>411206</xdr:colOff>
      <xdr:row>58</xdr:row>
      <xdr:rowOff>7076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C63C1422-AF8F-1CB3-7A43-C629D8875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206692</xdr:colOff>
      <xdr:row>14</xdr:row>
      <xdr:rowOff>45720</xdr:rowOff>
    </xdr:from>
    <xdr:to>
      <xdr:col>6</xdr:col>
      <xdr:colOff>301942</xdr:colOff>
      <xdr:row>29</xdr:row>
      <xdr:rowOff>72390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938FB66-ECBD-3FC6-8513-C595B86E0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532447</xdr:colOff>
      <xdr:row>14</xdr:row>
      <xdr:rowOff>104775</xdr:rowOff>
    </xdr:from>
    <xdr:to>
      <xdr:col>14</xdr:col>
      <xdr:colOff>227647</xdr:colOff>
      <xdr:row>29</xdr:row>
      <xdr:rowOff>131445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F9352E1-2326-1C7D-E1B0-105AF5D20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566601</xdr:colOff>
      <xdr:row>6</xdr:row>
      <xdr:rowOff>109673</xdr:rowOff>
    </xdr:from>
    <xdr:to>
      <xdr:col>24</xdr:col>
      <xdr:colOff>228599</xdr:colOff>
      <xdr:row>22</xdr:row>
      <xdr:rowOff>30207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C05E96-7673-8518-927E-C8BBECE7B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Czerwonofioletowy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6D80-7DEC-48B5-8B56-52681A60D296}">
  <dimension ref="A1:Z32"/>
  <sheetViews>
    <sheetView zoomScale="70" zoomScaleNormal="70" workbookViewId="0">
      <selection activeCell="J32" sqref="J32"/>
    </sheetView>
  </sheetViews>
  <sheetFormatPr defaultRowHeight="14.4" x14ac:dyDescent="0.3"/>
  <cols>
    <col min="1" max="1" width="20.109375" customWidth="1"/>
    <col min="10" max="10" width="15" bestFit="1" customWidth="1"/>
    <col min="19" max="19" width="19.33203125" bestFit="1" customWidth="1"/>
  </cols>
  <sheetData>
    <row r="1" spans="1:26" x14ac:dyDescent="0.3">
      <c r="A1" t="s">
        <v>0</v>
      </c>
    </row>
    <row r="2" spans="1:26" s="3" customFormat="1" x14ac:dyDescent="0.3">
      <c r="B2" s="3">
        <v>2</v>
      </c>
      <c r="C2" s="3">
        <v>4</v>
      </c>
      <c r="D2" s="3">
        <v>8</v>
      </c>
      <c r="E2" s="3">
        <v>16</v>
      </c>
      <c r="F2" s="3">
        <v>20</v>
      </c>
      <c r="G2" s="3">
        <v>24</v>
      </c>
      <c r="H2" s="3">
        <v>28</v>
      </c>
      <c r="K2" s="3">
        <v>2</v>
      </c>
      <c r="L2" s="3">
        <v>4</v>
      </c>
      <c r="M2" s="3">
        <v>8</v>
      </c>
      <c r="N2" s="3">
        <v>16</v>
      </c>
      <c r="O2" s="3">
        <v>20</v>
      </c>
      <c r="P2" s="3">
        <v>24</v>
      </c>
      <c r="Q2" s="3">
        <v>28</v>
      </c>
      <c r="T2" s="3">
        <v>2</v>
      </c>
      <c r="U2" s="3">
        <v>4</v>
      </c>
      <c r="V2" s="3">
        <v>8</v>
      </c>
      <c r="W2" s="3">
        <v>16</v>
      </c>
      <c r="X2" s="3">
        <v>20</v>
      </c>
      <c r="Y2" s="3">
        <v>24</v>
      </c>
      <c r="Z2" s="3">
        <v>28</v>
      </c>
    </row>
    <row r="3" spans="1:26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9</v>
      </c>
      <c r="G3">
        <v>162</v>
      </c>
      <c r="H3">
        <v>2160</v>
      </c>
      <c r="J3" t="s">
        <v>3</v>
      </c>
      <c r="K3">
        <v>0</v>
      </c>
      <c r="L3">
        <v>0</v>
      </c>
      <c r="M3">
        <v>0</v>
      </c>
      <c r="N3">
        <v>0</v>
      </c>
      <c r="O3">
        <v>8</v>
      </c>
      <c r="P3">
        <v>135</v>
      </c>
      <c r="Q3">
        <v>2124</v>
      </c>
      <c r="S3" t="s">
        <v>5</v>
      </c>
      <c r="T3">
        <v>0</v>
      </c>
      <c r="U3">
        <v>0</v>
      </c>
      <c r="V3">
        <v>0</v>
      </c>
      <c r="W3">
        <v>0</v>
      </c>
      <c r="X3">
        <v>9</v>
      </c>
      <c r="Y3">
        <v>134</v>
      </c>
      <c r="Z3">
        <v>2124</v>
      </c>
    </row>
    <row r="4" spans="1:26" x14ac:dyDescent="0.3">
      <c r="A4" t="s">
        <v>1</v>
      </c>
      <c r="B4">
        <v>0</v>
      </c>
      <c r="C4">
        <v>0</v>
      </c>
      <c r="D4">
        <v>0</v>
      </c>
      <c r="E4">
        <v>1</v>
      </c>
      <c r="F4">
        <v>7</v>
      </c>
      <c r="G4">
        <v>140</v>
      </c>
      <c r="H4">
        <v>2131</v>
      </c>
      <c r="J4" t="s">
        <v>3</v>
      </c>
      <c r="K4">
        <v>0</v>
      </c>
      <c r="L4">
        <v>0</v>
      </c>
      <c r="M4">
        <v>0</v>
      </c>
      <c r="N4">
        <v>0</v>
      </c>
      <c r="O4">
        <v>10</v>
      </c>
      <c r="P4">
        <v>133</v>
      </c>
      <c r="Q4">
        <v>2143</v>
      </c>
      <c r="S4" t="s">
        <v>5</v>
      </c>
      <c r="T4">
        <v>0</v>
      </c>
      <c r="U4">
        <v>0</v>
      </c>
      <c r="V4">
        <v>0</v>
      </c>
      <c r="W4">
        <v>1</v>
      </c>
      <c r="X4">
        <v>10</v>
      </c>
      <c r="Y4">
        <v>154</v>
      </c>
      <c r="Z4">
        <v>2128</v>
      </c>
    </row>
    <row r="5" spans="1:26" x14ac:dyDescent="0.3">
      <c r="A5" t="s">
        <v>1</v>
      </c>
      <c r="B5">
        <v>0</v>
      </c>
      <c r="C5">
        <v>0</v>
      </c>
      <c r="D5">
        <v>0</v>
      </c>
      <c r="E5">
        <v>0</v>
      </c>
      <c r="F5">
        <v>9</v>
      </c>
      <c r="G5">
        <v>132</v>
      </c>
      <c r="H5">
        <v>2211</v>
      </c>
      <c r="J5" t="s">
        <v>3</v>
      </c>
      <c r="K5">
        <v>0</v>
      </c>
      <c r="L5">
        <v>0</v>
      </c>
      <c r="M5">
        <v>0</v>
      </c>
      <c r="N5">
        <v>1</v>
      </c>
      <c r="O5">
        <v>7</v>
      </c>
      <c r="P5">
        <v>145</v>
      </c>
      <c r="Q5">
        <v>2134</v>
      </c>
      <c r="S5" t="s">
        <v>5</v>
      </c>
      <c r="T5">
        <v>0</v>
      </c>
      <c r="U5">
        <v>0</v>
      </c>
      <c r="V5">
        <v>0</v>
      </c>
      <c r="W5">
        <v>1</v>
      </c>
      <c r="X5">
        <v>8</v>
      </c>
      <c r="Y5">
        <v>151</v>
      </c>
      <c r="Z5">
        <v>2221</v>
      </c>
    </row>
    <row r="6" spans="1:26" x14ac:dyDescent="0.3">
      <c r="A6" t="s">
        <v>1</v>
      </c>
      <c r="B6">
        <v>0</v>
      </c>
      <c r="C6">
        <v>0</v>
      </c>
      <c r="D6">
        <v>0</v>
      </c>
      <c r="E6">
        <v>1</v>
      </c>
      <c r="F6">
        <v>10</v>
      </c>
      <c r="G6">
        <v>132</v>
      </c>
      <c r="H6">
        <v>2171</v>
      </c>
      <c r="J6" t="s">
        <v>3</v>
      </c>
      <c r="K6">
        <v>0</v>
      </c>
      <c r="L6">
        <v>0</v>
      </c>
      <c r="M6">
        <v>0</v>
      </c>
      <c r="N6">
        <v>0</v>
      </c>
      <c r="O6">
        <v>7</v>
      </c>
      <c r="P6">
        <v>133</v>
      </c>
      <c r="Q6">
        <v>2132</v>
      </c>
      <c r="S6" t="s">
        <v>5</v>
      </c>
      <c r="T6">
        <v>0</v>
      </c>
      <c r="U6">
        <v>0</v>
      </c>
      <c r="V6">
        <v>0</v>
      </c>
      <c r="W6">
        <v>0</v>
      </c>
      <c r="X6">
        <v>10</v>
      </c>
      <c r="Y6">
        <v>155</v>
      </c>
      <c r="Z6">
        <v>2153</v>
      </c>
    </row>
    <row r="7" spans="1:26" x14ac:dyDescent="0.3">
      <c r="A7" t="s">
        <v>1</v>
      </c>
      <c r="B7">
        <v>0</v>
      </c>
      <c r="C7">
        <v>0</v>
      </c>
      <c r="D7">
        <v>0</v>
      </c>
      <c r="E7">
        <v>0</v>
      </c>
      <c r="F7">
        <v>8</v>
      </c>
      <c r="G7">
        <v>136</v>
      </c>
      <c r="H7">
        <v>2134</v>
      </c>
      <c r="J7" t="s">
        <v>3</v>
      </c>
      <c r="K7">
        <v>0</v>
      </c>
      <c r="L7">
        <v>0</v>
      </c>
      <c r="M7">
        <v>0</v>
      </c>
      <c r="N7">
        <v>0</v>
      </c>
      <c r="O7">
        <v>7</v>
      </c>
      <c r="P7">
        <v>149</v>
      </c>
      <c r="Q7">
        <v>2178</v>
      </c>
      <c r="S7" t="s">
        <v>5</v>
      </c>
      <c r="T7">
        <v>0</v>
      </c>
      <c r="U7">
        <v>0</v>
      </c>
      <c r="V7">
        <v>0</v>
      </c>
      <c r="W7">
        <v>0</v>
      </c>
      <c r="X7">
        <v>9</v>
      </c>
      <c r="Y7">
        <v>155</v>
      </c>
      <c r="Z7">
        <v>2203</v>
      </c>
    </row>
    <row r="8" spans="1:26" x14ac:dyDescent="0.3">
      <c r="A8" t="s">
        <v>1</v>
      </c>
      <c r="B8">
        <v>0</v>
      </c>
      <c r="C8">
        <v>0</v>
      </c>
      <c r="D8">
        <v>0</v>
      </c>
      <c r="E8">
        <v>0</v>
      </c>
      <c r="F8">
        <v>7</v>
      </c>
      <c r="G8">
        <v>131</v>
      </c>
      <c r="H8">
        <v>2123</v>
      </c>
      <c r="J8" t="s">
        <v>3</v>
      </c>
      <c r="K8">
        <v>0</v>
      </c>
      <c r="L8">
        <v>0</v>
      </c>
      <c r="M8">
        <v>0</v>
      </c>
      <c r="N8">
        <v>0</v>
      </c>
      <c r="O8">
        <v>9</v>
      </c>
      <c r="P8">
        <v>133</v>
      </c>
      <c r="Q8">
        <v>2143</v>
      </c>
      <c r="S8" t="s">
        <v>5</v>
      </c>
      <c r="T8">
        <v>0</v>
      </c>
      <c r="U8">
        <v>0</v>
      </c>
      <c r="V8">
        <v>0</v>
      </c>
      <c r="W8">
        <v>0</v>
      </c>
      <c r="X8">
        <v>8</v>
      </c>
      <c r="Y8">
        <v>149</v>
      </c>
      <c r="Z8">
        <v>2167</v>
      </c>
    </row>
    <row r="9" spans="1:26" x14ac:dyDescent="0.3">
      <c r="A9" t="s">
        <v>1</v>
      </c>
      <c r="B9">
        <v>0</v>
      </c>
      <c r="C9">
        <v>0</v>
      </c>
      <c r="D9">
        <v>0</v>
      </c>
      <c r="E9">
        <v>0</v>
      </c>
      <c r="F9">
        <v>10</v>
      </c>
      <c r="G9">
        <v>132</v>
      </c>
      <c r="H9">
        <v>2141</v>
      </c>
      <c r="J9" t="s">
        <v>3</v>
      </c>
      <c r="K9">
        <v>0</v>
      </c>
      <c r="L9">
        <v>0</v>
      </c>
      <c r="M9">
        <v>0</v>
      </c>
      <c r="N9">
        <v>0</v>
      </c>
      <c r="O9">
        <v>9</v>
      </c>
      <c r="P9">
        <v>149</v>
      </c>
      <c r="Q9">
        <v>2141</v>
      </c>
      <c r="S9" t="s">
        <v>5</v>
      </c>
      <c r="T9">
        <v>0</v>
      </c>
      <c r="U9">
        <v>0</v>
      </c>
      <c r="V9">
        <v>0</v>
      </c>
      <c r="W9">
        <v>0</v>
      </c>
      <c r="X9">
        <v>7</v>
      </c>
      <c r="Y9">
        <v>136</v>
      </c>
      <c r="Z9">
        <v>2249</v>
      </c>
    </row>
    <row r="10" spans="1:26" x14ac:dyDescent="0.3">
      <c r="A10" t="s">
        <v>1</v>
      </c>
      <c r="B10">
        <v>0</v>
      </c>
      <c r="C10">
        <v>0</v>
      </c>
      <c r="D10">
        <v>0</v>
      </c>
      <c r="E10">
        <v>0</v>
      </c>
      <c r="F10">
        <v>10</v>
      </c>
      <c r="G10">
        <v>159</v>
      </c>
      <c r="H10">
        <v>2126</v>
      </c>
      <c r="J10" t="s">
        <v>3</v>
      </c>
      <c r="K10">
        <v>0</v>
      </c>
      <c r="L10">
        <v>0</v>
      </c>
      <c r="M10">
        <v>0</v>
      </c>
      <c r="N10">
        <v>0</v>
      </c>
      <c r="O10">
        <v>7</v>
      </c>
      <c r="P10">
        <v>137</v>
      </c>
      <c r="Q10">
        <v>2125</v>
      </c>
      <c r="S10" t="s">
        <v>5</v>
      </c>
      <c r="T10">
        <v>0</v>
      </c>
      <c r="U10">
        <v>0</v>
      </c>
      <c r="V10">
        <v>0</v>
      </c>
      <c r="W10">
        <v>1</v>
      </c>
      <c r="X10">
        <v>7</v>
      </c>
      <c r="Y10">
        <v>137</v>
      </c>
      <c r="Z10">
        <v>2213</v>
      </c>
    </row>
    <row r="11" spans="1:26" x14ac:dyDescent="0.3">
      <c r="A11" t="s">
        <v>1</v>
      </c>
      <c r="B11">
        <v>0</v>
      </c>
      <c r="C11">
        <v>0</v>
      </c>
      <c r="D11">
        <v>0</v>
      </c>
      <c r="E11">
        <v>0</v>
      </c>
      <c r="F11">
        <v>9</v>
      </c>
      <c r="G11">
        <v>153</v>
      </c>
      <c r="H11">
        <v>2125</v>
      </c>
      <c r="J11" t="s">
        <v>3</v>
      </c>
      <c r="K11">
        <v>0</v>
      </c>
      <c r="L11">
        <v>0</v>
      </c>
      <c r="M11">
        <v>0</v>
      </c>
      <c r="N11">
        <v>0</v>
      </c>
      <c r="O11">
        <v>7</v>
      </c>
      <c r="P11">
        <v>132</v>
      </c>
      <c r="Q11">
        <v>2144</v>
      </c>
      <c r="S11" t="s">
        <v>5</v>
      </c>
      <c r="T11">
        <v>0</v>
      </c>
      <c r="U11">
        <v>0</v>
      </c>
      <c r="V11">
        <v>0</v>
      </c>
      <c r="W11">
        <v>0</v>
      </c>
      <c r="X11">
        <v>7</v>
      </c>
      <c r="Y11">
        <v>134</v>
      </c>
      <c r="Z11">
        <v>2122</v>
      </c>
    </row>
    <row r="12" spans="1:26" x14ac:dyDescent="0.3">
      <c r="A12" t="s">
        <v>1</v>
      </c>
      <c r="B12">
        <v>0</v>
      </c>
      <c r="C12">
        <v>0</v>
      </c>
      <c r="D12">
        <v>0</v>
      </c>
      <c r="E12">
        <v>0</v>
      </c>
      <c r="F12">
        <v>10</v>
      </c>
      <c r="G12">
        <v>154</v>
      </c>
      <c r="H12">
        <v>2176</v>
      </c>
      <c r="J12" t="s">
        <v>3</v>
      </c>
      <c r="K12">
        <v>0</v>
      </c>
      <c r="L12">
        <v>0</v>
      </c>
      <c r="M12">
        <v>0</v>
      </c>
      <c r="N12">
        <v>0</v>
      </c>
      <c r="O12">
        <v>8</v>
      </c>
      <c r="P12">
        <v>131</v>
      </c>
      <c r="Q12">
        <v>2104</v>
      </c>
      <c r="S12" t="s">
        <v>5</v>
      </c>
      <c r="T12">
        <v>0</v>
      </c>
      <c r="U12">
        <v>0</v>
      </c>
      <c r="V12">
        <v>0</v>
      </c>
      <c r="W12">
        <v>1</v>
      </c>
      <c r="X12">
        <v>7</v>
      </c>
      <c r="Y12">
        <v>132</v>
      </c>
      <c r="Z12">
        <v>2231</v>
      </c>
    </row>
    <row r="13" spans="1:26" s="2" customFormat="1" x14ac:dyDescent="0.3">
      <c r="A13" s="2" t="s">
        <v>8</v>
      </c>
      <c r="B13" s="2">
        <f>MEDIAN(B3:B12)</f>
        <v>0</v>
      </c>
      <c r="C13" s="2">
        <f t="shared" ref="C13:H13" si="0">MEDIAN(C3:C12)</f>
        <v>0</v>
      </c>
      <c r="D13" s="2">
        <f t="shared" si="0"/>
        <v>0</v>
      </c>
      <c r="E13" s="2">
        <f t="shared" si="0"/>
        <v>0</v>
      </c>
      <c r="F13" s="2">
        <f t="shared" si="0"/>
        <v>9</v>
      </c>
      <c r="G13" s="2">
        <f t="shared" si="0"/>
        <v>138</v>
      </c>
      <c r="H13" s="2">
        <f t="shared" si="0"/>
        <v>2137.5</v>
      </c>
      <c r="J13" s="2" t="s">
        <v>10</v>
      </c>
      <c r="K13" s="2">
        <f>MEDIAN(K3:K12)</f>
        <v>0</v>
      </c>
      <c r="L13" s="2">
        <f t="shared" ref="L13:Q13" si="1">MEDIAN(L3:L12)</f>
        <v>0</v>
      </c>
      <c r="M13" s="2">
        <f t="shared" si="1"/>
        <v>0</v>
      </c>
      <c r="N13" s="2">
        <f t="shared" si="1"/>
        <v>0</v>
      </c>
      <c r="O13" s="2">
        <f t="shared" si="1"/>
        <v>7.5</v>
      </c>
      <c r="P13" s="2">
        <f t="shared" si="1"/>
        <v>134</v>
      </c>
      <c r="Q13" s="2">
        <f t="shared" si="1"/>
        <v>2137.5</v>
      </c>
      <c r="S13" s="2" t="s">
        <v>12</v>
      </c>
      <c r="T13" s="2">
        <f>MEDIAN(T3:T12)</f>
        <v>0</v>
      </c>
      <c r="U13" s="2">
        <f t="shared" ref="U13:Z13" si="2">MEDIAN(U3:U12)</f>
        <v>0</v>
      </c>
      <c r="V13" s="2">
        <f t="shared" si="2"/>
        <v>0</v>
      </c>
      <c r="W13" s="2">
        <f t="shared" si="2"/>
        <v>0</v>
      </c>
      <c r="X13" s="2">
        <f t="shared" si="2"/>
        <v>8</v>
      </c>
      <c r="Y13" s="2">
        <f t="shared" si="2"/>
        <v>143</v>
      </c>
      <c r="Z13" s="2">
        <f t="shared" si="2"/>
        <v>2185</v>
      </c>
    </row>
    <row r="14" spans="1:26" x14ac:dyDescent="0.3">
      <c r="A14" t="s">
        <v>2</v>
      </c>
      <c r="B14">
        <v>0</v>
      </c>
      <c r="C14">
        <v>0</v>
      </c>
      <c r="D14">
        <v>0</v>
      </c>
      <c r="E14">
        <v>0</v>
      </c>
      <c r="F14">
        <v>9</v>
      </c>
      <c r="G14">
        <v>140</v>
      </c>
      <c r="H14">
        <v>2115</v>
      </c>
      <c r="J14" t="s">
        <v>4</v>
      </c>
      <c r="K14">
        <v>0</v>
      </c>
      <c r="L14">
        <v>0</v>
      </c>
      <c r="M14">
        <v>0</v>
      </c>
      <c r="N14">
        <v>1</v>
      </c>
      <c r="O14">
        <v>8</v>
      </c>
      <c r="P14">
        <v>131</v>
      </c>
      <c r="Q14">
        <v>2139</v>
      </c>
    </row>
    <row r="15" spans="1:26" x14ac:dyDescent="0.3">
      <c r="A15" t="s">
        <v>2</v>
      </c>
      <c r="B15">
        <v>0</v>
      </c>
      <c r="C15">
        <v>0</v>
      </c>
      <c r="D15">
        <v>0</v>
      </c>
      <c r="E15">
        <v>0</v>
      </c>
      <c r="F15">
        <v>8</v>
      </c>
      <c r="G15">
        <v>134</v>
      </c>
      <c r="H15">
        <v>2128</v>
      </c>
      <c r="J15" t="s">
        <v>4</v>
      </c>
      <c r="K15">
        <v>0</v>
      </c>
      <c r="L15">
        <v>0</v>
      </c>
      <c r="M15">
        <v>0</v>
      </c>
      <c r="N15">
        <v>0</v>
      </c>
      <c r="O15">
        <v>8</v>
      </c>
      <c r="P15">
        <v>132</v>
      </c>
      <c r="Q15">
        <v>2193</v>
      </c>
    </row>
    <row r="16" spans="1:26" x14ac:dyDescent="0.3">
      <c r="A16" t="s">
        <v>2</v>
      </c>
      <c r="B16">
        <v>0</v>
      </c>
      <c r="C16">
        <v>0</v>
      </c>
      <c r="D16">
        <v>0</v>
      </c>
      <c r="E16">
        <v>0</v>
      </c>
      <c r="F16">
        <v>8</v>
      </c>
      <c r="G16">
        <v>141</v>
      </c>
      <c r="H16">
        <v>2129</v>
      </c>
      <c r="J16" t="s">
        <v>4</v>
      </c>
      <c r="K16">
        <v>0</v>
      </c>
      <c r="L16">
        <v>0</v>
      </c>
      <c r="M16">
        <v>0</v>
      </c>
      <c r="N16">
        <v>0</v>
      </c>
      <c r="O16">
        <v>8</v>
      </c>
      <c r="P16">
        <v>140</v>
      </c>
      <c r="Q16">
        <v>2130</v>
      </c>
    </row>
    <row r="17" spans="1:17" x14ac:dyDescent="0.3">
      <c r="A17" t="s">
        <v>2</v>
      </c>
      <c r="B17">
        <v>0</v>
      </c>
      <c r="C17">
        <v>0</v>
      </c>
      <c r="D17">
        <v>0</v>
      </c>
      <c r="E17">
        <v>0</v>
      </c>
      <c r="F17">
        <v>8</v>
      </c>
      <c r="G17">
        <v>129</v>
      </c>
      <c r="H17">
        <v>2044</v>
      </c>
      <c r="J17" t="s">
        <v>4</v>
      </c>
      <c r="K17">
        <v>0</v>
      </c>
      <c r="L17">
        <v>0</v>
      </c>
      <c r="M17">
        <v>0</v>
      </c>
      <c r="N17">
        <v>1</v>
      </c>
      <c r="O17">
        <v>8</v>
      </c>
      <c r="P17">
        <v>133</v>
      </c>
      <c r="Q17">
        <v>2139</v>
      </c>
    </row>
    <row r="18" spans="1:17" x14ac:dyDescent="0.3">
      <c r="A18" t="s">
        <v>2</v>
      </c>
      <c r="B18">
        <v>0</v>
      </c>
      <c r="C18">
        <v>0</v>
      </c>
      <c r="D18">
        <v>0</v>
      </c>
      <c r="E18">
        <v>0</v>
      </c>
      <c r="F18">
        <v>8</v>
      </c>
      <c r="G18">
        <v>125</v>
      </c>
      <c r="H18">
        <v>2138</v>
      </c>
      <c r="J18" t="s">
        <v>4</v>
      </c>
      <c r="K18">
        <v>0</v>
      </c>
      <c r="L18">
        <v>0</v>
      </c>
      <c r="M18">
        <v>0</v>
      </c>
      <c r="N18">
        <v>0</v>
      </c>
      <c r="O18">
        <v>7</v>
      </c>
      <c r="P18">
        <v>132</v>
      </c>
      <c r="Q18">
        <v>2118</v>
      </c>
    </row>
    <row r="19" spans="1:17" x14ac:dyDescent="0.3">
      <c r="A19" t="s">
        <v>2</v>
      </c>
      <c r="B19">
        <v>0</v>
      </c>
      <c r="C19">
        <v>0</v>
      </c>
      <c r="D19">
        <v>0</v>
      </c>
      <c r="E19">
        <v>0</v>
      </c>
      <c r="F19">
        <v>7</v>
      </c>
      <c r="G19">
        <v>133</v>
      </c>
      <c r="H19">
        <v>2075</v>
      </c>
      <c r="J19" t="s">
        <v>4</v>
      </c>
      <c r="K19">
        <v>0</v>
      </c>
      <c r="L19">
        <v>0</v>
      </c>
      <c r="M19">
        <v>0</v>
      </c>
      <c r="N19">
        <v>0</v>
      </c>
      <c r="O19">
        <v>9</v>
      </c>
      <c r="P19">
        <v>132</v>
      </c>
      <c r="Q19">
        <v>2119</v>
      </c>
    </row>
    <row r="20" spans="1:17" x14ac:dyDescent="0.3">
      <c r="A20" t="s">
        <v>2</v>
      </c>
      <c r="B20">
        <v>0</v>
      </c>
      <c r="C20">
        <v>0</v>
      </c>
      <c r="D20">
        <v>0</v>
      </c>
      <c r="E20">
        <v>0</v>
      </c>
      <c r="F20">
        <v>8</v>
      </c>
      <c r="G20">
        <v>159</v>
      </c>
      <c r="H20">
        <v>2194</v>
      </c>
      <c r="J20" t="s">
        <v>4</v>
      </c>
      <c r="K20">
        <v>0</v>
      </c>
      <c r="L20">
        <v>0</v>
      </c>
      <c r="M20">
        <v>0</v>
      </c>
      <c r="N20">
        <v>0</v>
      </c>
      <c r="O20">
        <v>8</v>
      </c>
      <c r="P20">
        <v>132</v>
      </c>
      <c r="Q20">
        <v>2134</v>
      </c>
    </row>
    <row r="21" spans="1:17" x14ac:dyDescent="0.3">
      <c r="A21" t="s">
        <v>2</v>
      </c>
      <c r="B21">
        <v>0</v>
      </c>
      <c r="C21">
        <v>0</v>
      </c>
      <c r="D21">
        <v>0</v>
      </c>
      <c r="E21">
        <v>0</v>
      </c>
      <c r="F21">
        <v>7</v>
      </c>
      <c r="G21">
        <v>159</v>
      </c>
      <c r="H21">
        <v>2125</v>
      </c>
      <c r="J21" t="s">
        <v>4</v>
      </c>
      <c r="K21">
        <v>0</v>
      </c>
      <c r="L21">
        <v>0</v>
      </c>
      <c r="M21">
        <v>0</v>
      </c>
      <c r="N21">
        <v>0</v>
      </c>
      <c r="O21">
        <v>9</v>
      </c>
      <c r="P21">
        <v>133</v>
      </c>
      <c r="Q21">
        <v>2131</v>
      </c>
    </row>
    <row r="22" spans="1:17" x14ac:dyDescent="0.3">
      <c r="A22" t="s">
        <v>2</v>
      </c>
      <c r="B22">
        <v>0</v>
      </c>
      <c r="C22">
        <v>0</v>
      </c>
      <c r="D22">
        <v>0</v>
      </c>
      <c r="E22">
        <v>0</v>
      </c>
      <c r="F22">
        <v>7</v>
      </c>
      <c r="G22">
        <v>134</v>
      </c>
      <c r="H22">
        <v>1993</v>
      </c>
      <c r="J22" t="s">
        <v>4</v>
      </c>
      <c r="K22">
        <v>0</v>
      </c>
      <c r="L22">
        <v>0</v>
      </c>
      <c r="M22">
        <v>0</v>
      </c>
      <c r="N22">
        <v>0</v>
      </c>
      <c r="O22">
        <v>7</v>
      </c>
      <c r="P22">
        <v>130</v>
      </c>
      <c r="Q22">
        <v>2202</v>
      </c>
    </row>
    <row r="23" spans="1:17" x14ac:dyDescent="0.3">
      <c r="A23" t="s">
        <v>2</v>
      </c>
      <c r="B23">
        <v>0</v>
      </c>
      <c r="C23">
        <v>0</v>
      </c>
      <c r="D23">
        <v>0</v>
      </c>
      <c r="E23">
        <v>0</v>
      </c>
      <c r="F23">
        <v>9</v>
      </c>
      <c r="G23">
        <v>134</v>
      </c>
      <c r="H23">
        <v>2140</v>
      </c>
      <c r="J23" t="s">
        <v>4</v>
      </c>
      <c r="K23">
        <v>0</v>
      </c>
      <c r="L23">
        <v>0</v>
      </c>
      <c r="M23">
        <v>0</v>
      </c>
      <c r="N23">
        <v>0</v>
      </c>
      <c r="O23">
        <v>9</v>
      </c>
      <c r="P23">
        <v>135</v>
      </c>
      <c r="Q23">
        <v>2157</v>
      </c>
    </row>
    <row r="24" spans="1:17" s="2" customFormat="1" x14ac:dyDescent="0.3">
      <c r="A24" s="2" t="s">
        <v>9</v>
      </c>
      <c r="B24" s="2">
        <f>MEDIAN(B14:B23)</f>
        <v>0</v>
      </c>
      <c r="C24" s="2">
        <f t="shared" ref="C24:H24" si="3">MEDIAN(C14:C23)</f>
        <v>0</v>
      </c>
      <c r="D24" s="2">
        <f t="shared" si="3"/>
        <v>0</v>
      </c>
      <c r="E24" s="2">
        <f t="shared" si="3"/>
        <v>0</v>
      </c>
      <c r="F24" s="2">
        <f t="shared" si="3"/>
        <v>8</v>
      </c>
      <c r="G24" s="2">
        <f t="shared" si="3"/>
        <v>134</v>
      </c>
      <c r="H24" s="2">
        <f t="shared" si="3"/>
        <v>2126.5</v>
      </c>
      <c r="J24" s="2" t="s">
        <v>11</v>
      </c>
      <c r="K24" s="2">
        <f>MEDIAN(K14:K23)</f>
        <v>0</v>
      </c>
      <c r="L24" s="2">
        <f t="shared" ref="L24:Q24" si="4">MEDIAN(L14:L23)</f>
        <v>0</v>
      </c>
      <c r="M24" s="2">
        <f t="shared" si="4"/>
        <v>0</v>
      </c>
      <c r="N24" s="2">
        <f t="shared" si="4"/>
        <v>0</v>
      </c>
      <c r="O24" s="2">
        <f t="shared" si="4"/>
        <v>8</v>
      </c>
      <c r="P24" s="2">
        <f t="shared" si="4"/>
        <v>132</v>
      </c>
      <c r="Q24" s="2">
        <f t="shared" si="4"/>
        <v>2136.5</v>
      </c>
    </row>
    <row r="27" spans="1:17" x14ac:dyDescent="0.3">
      <c r="A27" s="3"/>
      <c r="B27" s="3">
        <v>2</v>
      </c>
      <c r="C27" s="3">
        <v>4</v>
      </c>
      <c r="D27" s="3">
        <v>8</v>
      </c>
      <c r="E27" s="3">
        <v>16</v>
      </c>
      <c r="F27" s="3">
        <v>20</v>
      </c>
      <c r="G27" s="3">
        <v>24</v>
      </c>
      <c r="H27" s="3">
        <v>28</v>
      </c>
    </row>
    <row r="28" spans="1:17" x14ac:dyDescent="0.3">
      <c r="A28" t="s">
        <v>8</v>
      </c>
      <c r="B28">
        <v>0</v>
      </c>
      <c r="C28">
        <v>0</v>
      </c>
      <c r="D28">
        <v>0</v>
      </c>
      <c r="E28">
        <v>0</v>
      </c>
      <c r="F28">
        <v>9</v>
      </c>
      <c r="G28">
        <v>138</v>
      </c>
      <c r="H28">
        <v>2137.5</v>
      </c>
    </row>
    <row r="29" spans="1:17" x14ac:dyDescent="0.3">
      <c r="A29" t="s">
        <v>9</v>
      </c>
      <c r="B29">
        <v>0</v>
      </c>
      <c r="C29">
        <v>0</v>
      </c>
      <c r="D29">
        <v>0</v>
      </c>
      <c r="E29">
        <v>0</v>
      </c>
      <c r="F29">
        <v>8</v>
      </c>
      <c r="G29">
        <v>134</v>
      </c>
      <c r="H29">
        <v>2126.5</v>
      </c>
    </row>
    <row r="30" spans="1:17" x14ac:dyDescent="0.3">
      <c r="A30" t="s">
        <v>10</v>
      </c>
      <c r="B30">
        <v>0</v>
      </c>
      <c r="C30">
        <v>0</v>
      </c>
      <c r="D30">
        <v>0</v>
      </c>
      <c r="E30">
        <v>0</v>
      </c>
      <c r="F30">
        <v>7.5</v>
      </c>
      <c r="G30">
        <v>134</v>
      </c>
      <c r="H30">
        <v>2137.5</v>
      </c>
    </row>
    <row r="31" spans="1:17" x14ac:dyDescent="0.3">
      <c r="A31" t="s">
        <v>11</v>
      </c>
      <c r="B31">
        <v>0</v>
      </c>
      <c r="C31">
        <v>0</v>
      </c>
      <c r="D31">
        <v>0</v>
      </c>
      <c r="E31">
        <v>0</v>
      </c>
      <c r="F31">
        <v>8</v>
      </c>
      <c r="G31">
        <v>132</v>
      </c>
      <c r="H31">
        <v>2136.5</v>
      </c>
    </row>
    <row r="32" spans="1:17" x14ac:dyDescent="0.3">
      <c r="A32" t="s">
        <v>12</v>
      </c>
      <c r="B32">
        <v>0</v>
      </c>
      <c r="C32">
        <v>0</v>
      </c>
      <c r="D32">
        <v>0</v>
      </c>
      <c r="E32">
        <v>0</v>
      </c>
      <c r="F32">
        <v>8</v>
      </c>
      <c r="G32">
        <v>143</v>
      </c>
      <c r="H32">
        <v>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211B-D8FE-4E53-8628-9F12AD4C71B3}">
  <dimension ref="A1:AI57"/>
  <sheetViews>
    <sheetView zoomScale="55" zoomScaleNormal="55" workbookViewId="0">
      <selection activeCell="U14" sqref="U14:AI19"/>
    </sheetView>
  </sheetViews>
  <sheetFormatPr defaultRowHeight="14.4" x14ac:dyDescent="0.3"/>
  <cols>
    <col min="1" max="1" width="19.88671875" bestFit="1" customWidth="1"/>
    <col min="21" max="21" width="19.109375" bestFit="1" customWidth="1"/>
  </cols>
  <sheetData>
    <row r="1" spans="1:35" x14ac:dyDescent="0.3">
      <c r="A1" t="s">
        <v>6</v>
      </c>
    </row>
    <row r="2" spans="1:35" s="4" customFormat="1" x14ac:dyDescent="0.3">
      <c r="B2" s="4">
        <v>2</v>
      </c>
      <c r="C2" s="4">
        <v>4</v>
      </c>
      <c r="D2" s="4">
        <v>8</v>
      </c>
      <c r="E2" s="4">
        <v>16</v>
      </c>
      <c r="F2" s="4">
        <v>32</v>
      </c>
      <c r="G2" s="4">
        <v>64</v>
      </c>
      <c r="H2" s="4">
        <v>128</v>
      </c>
      <c r="I2" s="4">
        <v>256</v>
      </c>
      <c r="J2" s="4">
        <v>512</v>
      </c>
      <c r="K2" s="4">
        <v>1024</v>
      </c>
      <c r="L2" s="4">
        <v>2048</v>
      </c>
      <c r="M2" s="4">
        <v>4096</v>
      </c>
      <c r="N2" s="4">
        <v>8192</v>
      </c>
      <c r="O2" s="4">
        <v>16384</v>
      </c>
    </row>
    <row r="3" spans="1:35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11</v>
      </c>
      <c r="M3">
        <v>49</v>
      </c>
      <c r="N3">
        <v>183</v>
      </c>
      <c r="O3">
        <v>723</v>
      </c>
    </row>
    <row r="4" spans="1:35" x14ac:dyDescent="0.3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14</v>
      </c>
      <c r="M4">
        <v>45</v>
      </c>
      <c r="N4">
        <v>183</v>
      </c>
      <c r="O4">
        <v>724</v>
      </c>
    </row>
    <row r="5" spans="1:35" x14ac:dyDescent="0.3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14</v>
      </c>
      <c r="M5">
        <v>44</v>
      </c>
      <c r="N5">
        <v>183</v>
      </c>
      <c r="O5">
        <v>727</v>
      </c>
    </row>
    <row r="6" spans="1:35" x14ac:dyDescent="0.3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12</v>
      </c>
      <c r="M6">
        <v>46</v>
      </c>
      <c r="N6">
        <v>181</v>
      </c>
      <c r="O6">
        <v>773</v>
      </c>
    </row>
    <row r="7" spans="1:35" x14ac:dyDescent="0.3">
      <c r="A7" t="s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12</v>
      </c>
      <c r="M7">
        <v>45</v>
      </c>
      <c r="N7">
        <v>181</v>
      </c>
      <c r="O7">
        <v>754</v>
      </c>
    </row>
    <row r="8" spans="1:35" x14ac:dyDescent="0.3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12</v>
      </c>
      <c r="M8">
        <v>47</v>
      </c>
      <c r="N8">
        <v>181</v>
      </c>
      <c r="O8">
        <v>725</v>
      </c>
    </row>
    <row r="9" spans="1:35" x14ac:dyDescent="0.3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4</v>
      </c>
      <c r="L9">
        <v>12</v>
      </c>
      <c r="M9">
        <v>45</v>
      </c>
      <c r="N9">
        <v>181</v>
      </c>
      <c r="O9">
        <v>728</v>
      </c>
    </row>
    <row r="10" spans="1:35" x14ac:dyDescent="0.3">
      <c r="A10" t="s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12</v>
      </c>
      <c r="M10">
        <v>49</v>
      </c>
      <c r="N10">
        <v>182</v>
      </c>
      <c r="O10">
        <v>726</v>
      </c>
    </row>
    <row r="11" spans="1:35" x14ac:dyDescent="0.3">
      <c r="A11" t="s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3</v>
      </c>
      <c r="L11">
        <v>13</v>
      </c>
      <c r="M11">
        <v>45</v>
      </c>
      <c r="N11">
        <v>181</v>
      </c>
      <c r="O11">
        <v>724</v>
      </c>
    </row>
    <row r="12" spans="1:35" x14ac:dyDescent="0.3">
      <c r="A12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12</v>
      </c>
      <c r="M12">
        <v>44</v>
      </c>
      <c r="N12">
        <v>182</v>
      </c>
      <c r="O12">
        <v>722</v>
      </c>
    </row>
    <row r="13" spans="1:35" s="2" customFormat="1" x14ac:dyDescent="0.3">
      <c r="A13" s="2" t="s">
        <v>8</v>
      </c>
      <c r="B13" s="2">
        <f>MEDIAN(B3:B12)</f>
        <v>0</v>
      </c>
      <c r="C13" s="2">
        <f t="shared" ref="C13:O13" si="0">MEDIAN(C3:C12)</f>
        <v>0</v>
      </c>
      <c r="D13" s="2">
        <f t="shared" si="0"/>
        <v>0</v>
      </c>
      <c r="E13" s="2">
        <f t="shared" si="0"/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2">
        <f t="shared" si="0"/>
        <v>2</v>
      </c>
      <c r="L13" s="2">
        <f t="shared" si="0"/>
        <v>12</v>
      </c>
      <c r="M13" s="2">
        <f t="shared" si="0"/>
        <v>45</v>
      </c>
      <c r="N13" s="2">
        <f t="shared" si="0"/>
        <v>181.5</v>
      </c>
      <c r="O13" s="2">
        <f t="shared" si="0"/>
        <v>725.5</v>
      </c>
    </row>
    <row r="14" spans="1:35" x14ac:dyDescent="0.3">
      <c r="A14" t="s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11</v>
      </c>
      <c r="M14">
        <v>45</v>
      </c>
      <c r="N14">
        <v>182</v>
      </c>
      <c r="O14">
        <v>731</v>
      </c>
      <c r="V14" s="4">
        <v>2</v>
      </c>
      <c r="W14" s="4">
        <v>4</v>
      </c>
      <c r="X14" s="4">
        <v>8</v>
      </c>
      <c r="Y14" s="4">
        <v>16</v>
      </c>
      <c r="Z14" s="4">
        <v>32</v>
      </c>
      <c r="AA14" s="4">
        <v>64</v>
      </c>
      <c r="AB14" s="4">
        <v>128</v>
      </c>
      <c r="AC14" s="4">
        <v>256</v>
      </c>
      <c r="AD14" s="4">
        <v>512</v>
      </c>
      <c r="AE14" s="4">
        <v>1024</v>
      </c>
      <c r="AF14" s="4">
        <v>2048</v>
      </c>
      <c r="AG14" s="4">
        <v>4096</v>
      </c>
      <c r="AH14" s="4">
        <v>8192</v>
      </c>
      <c r="AI14" s="4">
        <v>16384</v>
      </c>
    </row>
    <row r="15" spans="1:35" x14ac:dyDescent="0.3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11</v>
      </c>
      <c r="M15">
        <v>45</v>
      </c>
      <c r="N15">
        <v>183</v>
      </c>
      <c r="O15">
        <v>724</v>
      </c>
      <c r="U15" t="s">
        <v>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12</v>
      </c>
      <c r="AG15">
        <v>45</v>
      </c>
      <c r="AH15">
        <v>181.5</v>
      </c>
      <c r="AI15">
        <v>725.5</v>
      </c>
    </row>
    <row r="16" spans="1:35" x14ac:dyDescent="0.3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3</v>
      </c>
      <c r="L16">
        <v>11</v>
      </c>
      <c r="M16">
        <v>44</v>
      </c>
      <c r="N16">
        <v>181</v>
      </c>
      <c r="O16">
        <v>734</v>
      </c>
      <c r="U16" t="s">
        <v>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11</v>
      </c>
      <c r="AG16">
        <v>45</v>
      </c>
      <c r="AH16">
        <v>182</v>
      </c>
      <c r="AI16">
        <v>730.5</v>
      </c>
    </row>
    <row r="17" spans="1:35" x14ac:dyDescent="0.3">
      <c r="A17" t="s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12</v>
      </c>
      <c r="M17">
        <v>46</v>
      </c>
      <c r="N17">
        <v>180</v>
      </c>
      <c r="O17">
        <v>730</v>
      </c>
      <c r="U17" t="s">
        <v>10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2.5</v>
      </c>
      <c r="AF17">
        <v>11</v>
      </c>
      <c r="AG17">
        <v>53</v>
      </c>
      <c r="AH17">
        <v>182</v>
      </c>
      <c r="AI17">
        <v>732</v>
      </c>
    </row>
    <row r="18" spans="1:35" x14ac:dyDescent="0.3">
      <c r="A18" t="s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</v>
      </c>
      <c r="L18">
        <v>12</v>
      </c>
      <c r="M18">
        <v>45</v>
      </c>
      <c r="N18">
        <v>208</v>
      </c>
      <c r="O18">
        <v>722</v>
      </c>
      <c r="U18" t="s">
        <v>11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12</v>
      </c>
      <c r="AG18">
        <v>45.5</v>
      </c>
      <c r="AH18">
        <v>182</v>
      </c>
      <c r="AI18">
        <v>744.5</v>
      </c>
    </row>
    <row r="19" spans="1:35" x14ac:dyDescent="0.3">
      <c r="A19" t="s">
        <v>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12</v>
      </c>
      <c r="M19">
        <v>45</v>
      </c>
      <c r="N19">
        <v>189</v>
      </c>
      <c r="O19">
        <v>737</v>
      </c>
      <c r="U19" t="s">
        <v>12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10.5</v>
      </c>
      <c r="AG19">
        <v>45</v>
      </c>
      <c r="AH19">
        <v>183</v>
      </c>
      <c r="AI19">
        <v>728.5</v>
      </c>
    </row>
    <row r="20" spans="1:35" x14ac:dyDescent="0.3">
      <c r="A20" t="s">
        <v>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11</v>
      </c>
      <c r="M20">
        <v>44</v>
      </c>
      <c r="N20">
        <v>180</v>
      </c>
      <c r="O20">
        <v>739</v>
      </c>
    </row>
    <row r="21" spans="1:35" x14ac:dyDescent="0.3">
      <c r="A21" t="s">
        <v>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4</v>
      </c>
      <c r="L21">
        <v>10</v>
      </c>
      <c r="M21">
        <v>46</v>
      </c>
      <c r="N21">
        <v>182</v>
      </c>
      <c r="O21">
        <v>732</v>
      </c>
    </row>
    <row r="22" spans="1:35" x14ac:dyDescent="0.3">
      <c r="A22" t="s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11</v>
      </c>
      <c r="M22">
        <v>47</v>
      </c>
      <c r="N22">
        <v>182</v>
      </c>
      <c r="O22">
        <v>728</v>
      </c>
    </row>
    <row r="23" spans="1:35" x14ac:dyDescent="0.3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10</v>
      </c>
      <c r="M23">
        <v>44</v>
      </c>
      <c r="N23">
        <v>182</v>
      </c>
      <c r="O23">
        <v>726</v>
      </c>
    </row>
    <row r="24" spans="1:35" s="2" customFormat="1" x14ac:dyDescent="0.3">
      <c r="A24" s="2" t="s">
        <v>9</v>
      </c>
      <c r="B24" s="2">
        <f>MEDIAN(B14:B23)</f>
        <v>0</v>
      </c>
      <c r="C24" s="2">
        <f t="shared" ref="C24:O24" si="1">MEDIAN(C14:C23)</f>
        <v>0</v>
      </c>
      <c r="D24" s="2">
        <f t="shared" si="1"/>
        <v>0</v>
      </c>
      <c r="E24" s="2">
        <f t="shared" si="1"/>
        <v>0</v>
      </c>
      <c r="F24" s="2">
        <f t="shared" si="1"/>
        <v>0</v>
      </c>
      <c r="G24" s="2">
        <f t="shared" si="1"/>
        <v>0</v>
      </c>
      <c r="H24" s="2">
        <f t="shared" si="1"/>
        <v>0</v>
      </c>
      <c r="I24" s="2">
        <f t="shared" si="1"/>
        <v>0</v>
      </c>
      <c r="J24" s="2">
        <f t="shared" si="1"/>
        <v>0</v>
      </c>
      <c r="K24" s="2">
        <f t="shared" si="1"/>
        <v>3</v>
      </c>
      <c r="L24" s="2">
        <f t="shared" si="1"/>
        <v>11</v>
      </c>
      <c r="M24" s="2">
        <f t="shared" si="1"/>
        <v>45</v>
      </c>
      <c r="N24" s="2">
        <f t="shared" si="1"/>
        <v>182</v>
      </c>
      <c r="O24" s="2">
        <f t="shared" si="1"/>
        <v>730.5</v>
      </c>
    </row>
    <row r="25" spans="1:35" x14ac:dyDescent="0.3">
      <c r="A25" t="s">
        <v>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11</v>
      </c>
      <c r="M25">
        <v>48</v>
      </c>
      <c r="N25">
        <v>210</v>
      </c>
      <c r="O25">
        <v>729</v>
      </c>
    </row>
    <row r="26" spans="1:35" x14ac:dyDescent="0.3">
      <c r="A26" t="s">
        <v>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10</v>
      </c>
      <c r="M26">
        <v>54</v>
      </c>
      <c r="N26">
        <v>210</v>
      </c>
      <c r="O26">
        <v>734</v>
      </c>
    </row>
    <row r="27" spans="1:35" x14ac:dyDescent="0.3">
      <c r="A27" t="s">
        <v>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11</v>
      </c>
      <c r="M27">
        <v>62</v>
      </c>
      <c r="N27">
        <v>204</v>
      </c>
      <c r="O27">
        <v>731</v>
      </c>
    </row>
    <row r="28" spans="1:35" x14ac:dyDescent="0.3">
      <c r="A28" t="s">
        <v>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12</v>
      </c>
      <c r="M28">
        <v>46</v>
      </c>
      <c r="N28">
        <v>182</v>
      </c>
      <c r="O28">
        <v>726</v>
      </c>
    </row>
    <row r="29" spans="1:35" x14ac:dyDescent="0.3">
      <c r="A29" t="s">
        <v>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2</v>
      </c>
      <c r="L29">
        <v>11</v>
      </c>
      <c r="M29">
        <v>66</v>
      </c>
      <c r="N29">
        <v>180</v>
      </c>
      <c r="O29">
        <v>733</v>
      </c>
    </row>
    <row r="30" spans="1:35" x14ac:dyDescent="0.3">
      <c r="A30" t="s">
        <v>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11</v>
      </c>
      <c r="M30">
        <v>48</v>
      </c>
      <c r="N30">
        <v>181</v>
      </c>
      <c r="O30">
        <v>790</v>
      </c>
    </row>
    <row r="31" spans="1:35" x14ac:dyDescent="0.3">
      <c r="A31" t="s">
        <v>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11</v>
      </c>
      <c r="M31">
        <v>45</v>
      </c>
      <c r="N31">
        <v>180</v>
      </c>
      <c r="O31">
        <v>760</v>
      </c>
    </row>
    <row r="32" spans="1:35" x14ac:dyDescent="0.3">
      <c r="A32" t="s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15</v>
      </c>
      <c r="M32">
        <v>52</v>
      </c>
      <c r="N32">
        <v>182</v>
      </c>
      <c r="O32">
        <v>730</v>
      </c>
    </row>
    <row r="33" spans="1:15" x14ac:dyDescent="0.3">
      <c r="A33" t="s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</v>
      </c>
      <c r="L33">
        <v>11</v>
      </c>
      <c r="M33">
        <v>57</v>
      </c>
      <c r="N33">
        <v>181</v>
      </c>
      <c r="O33">
        <v>734</v>
      </c>
    </row>
    <row r="34" spans="1:15" x14ac:dyDescent="0.3">
      <c r="A34" t="s">
        <v>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11</v>
      </c>
      <c r="M34">
        <v>54</v>
      </c>
      <c r="N34">
        <v>187</v>
      </c>
      <c r="O34">
        <v>727</v>
      </c>
    </row>
    <row r="35" spans="1:15" s="2" customFormat="1" x14ac:dyDescent="0.3">
      <c r="A35" s="2" t="s">
        <v>10</v>
      </c>
      <c r="B35" s="2">
        <f>MEDIAN(B25:B34)</f>
        <v>0</v>
      </c>
      <c r="C35" s="2">
        <f t="shared" ref="C35:O35" si="2">MEDIAN(C25:C34)</f>
        <v>0</v>
      </c>
      <c r="D35" s="2">
        <f t="shared" si="2"/>
        <v>0</v>
      </c>
      <c r="E35" s="2">
        <f t="shared" si="2"/>
        <v>0</v>
      </c>
      <c r="F35" s="2">
        <f t="shared" si="2"/>
        <v>0</v>
      </c>
      <c r="G35" s="2">
        <f t="shared" si="2"/>
        <v>0</v>
      </c>
      <c r="H35" s="2">
        <f t="shared" si="2"/>
        <v>0</v>
      </c>
      <c r="I35" s="2">
        <f t="shared" si="2"/>
        <v>0</v>
      </c>
      <c r="J35" s="2">
        <f t="shared" si="2"/>
        <v>0</v>
      </c>
      <c r="K35" s="2">
        <f t="shared" si="2"/>
        <v>2.5</v>
      </c>
      <c r="L35" s="2">
        <f t="shared" si="2"/>
        <v>11</v>
      </c>
      <c r="M35" s="2">
        <f t="shared" si="2"/>
        <v>53</v>
      </c>
      <c r="N35" s="2">
        <f t="shared" si="2"/>
        <v>182</v>
      </c>
      <c r="O35" s="2">
        <f t="shared" si="2"/>
        <v>732</v>
      </c>
    </row>
    <row r="36" spans="1:15" x14ac:dyDescent="0.3">
      <c r="A36" t="s">
        <v>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13</v>
      </c>
      <c r="M36">
        <v>46</v>
      </c>
      <c r="N36">
        <v>183</v>
      </c>
      <c r="O36">
        <v>813</v>
      </c>
    </row>
    <row r="37" spans="1:15" x14ac:dyDescent="0.3">
      <c r="A37" t="s">
        <v>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3</v>
      </c>
      <c r="L37">
        <v>13</v>
      </c>
      <c r="M37">
        <v>44</v>
      </c>
      <c r="N37">
        <v>185</v>
      </c>
      <c r="O37">
        <v>730</v>
      </c>
    </row>
    <row r="38" spans="1:15" x14ac:dyDescent="0.3">
      <c r="A38" t="s">
        <v>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4</v>
      </c>
      <c r="L38">
        <v>14</v>
      </c>
      <c r="M38">
        <v>44</v>
      </c>
      <c r="N38">
        <v>180</v>
      </c>
      <c r="O38">
        <v>784</v>
      </c>
    </row>
    <row r="39" spans="1:15" x14ac:dyDescent="0.3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12</v>
      </c>
      <c r="M39">
        <v>44</v>
      </c>
      <c r="N39">
        <v>187</v>
      </c>
      <c r="O39">
        <v>820</v>
      </c>
    </row>
    <row r="40" spans="1:15" x14ac:dyDescent="0.3">
      <c r="A40" t="s">
        <v>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12</v>
      </c>
      <c r="M40">
        <v>46</v>
      </c>
      <c r="N40">
        <v>182</v>
      </c>
      <c r="O40">
        <v>817</v>
      </c>
    </row>
    <row r="41" spans="1:15" x14ac:dyDescent="0.3">
      <c r="A41" t="s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10</v>
      </c>
      <c r="M41">
        <v>45</v>
      </c>
      <c r="N41">
        <v>180</v>
      </c>
      <c r="O41">
        <v>735</v>
      </c>
    </row>
    <row r="42" spans="1:15" x14ac:dyDescent="0.3">
      <c r="A42" t="s">
        <v>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10</v>
      </c>
      <c r="M42">
        <v>47</v>
      </c>
      <c r="N42">
        <v>182</v>
      </c>
      <c r="O42">
        <v>744</v>
      </c>
    </row>
    <row r="43" spans="1:15" x14ac:dyDescent="0.3">
      <c r="A43" t="s">
        <v>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11</v>
      </c>
      <c r="M43">
        <v>44</v>
      </c>
      <c r="N43">
        <v>182</v>
      </c>
      <c r="O43">
        <v>745</v>
      </c>
    </row>
    <row r="44" spans="1:15" x14ac:dyDescent="0.3">
      <c r="A44" t="s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11</v>
      </c>
      <c r="M44">
        <v>47</v>
      </c>
      <c r="N44">
        <v>182</v>
      </c>
      <c r="O44">
        <v>725</v>
      </c>
    </row>
    <row r="45" spans="1:15" x14ac:dyDescent="0.3">
      <c r="A45" t="s">
        <v>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13</v>
      </c>
      <c r="M45">
        <v>46</v>
      </c>
      <c r="N45">
        <v>181</v>
      </c>
      <c r="O45">
        <v>727</v>
      </c>
    </row>
    <row r="46" spans="1:15" s="2" customFormat="1" x14ac:dyDescent="0.3">
      <c r="A46" s="2" t="s">
        <v>11</v>
      </c>
      <c r="B46" s="2">
        <f>MEDIAN(B36:B45)</f>
        <v>0</v>
      </c>
      <c r="C46" s="2">
        <f t="shared" ref="C46:O46" si="3">MEDIAN(C36:C45)</f>
        <v>0</v>
      </c>
      <c r="D46" s="2">
        <f t="shared" si="3"/>
        <v>0</v>
      </c>
      <c r="E46" s="2">
        <f t="shared" si="3"/>
        <v>0</v>
      </c>
      <c r="F46" s="2">
        <f t="shared" si="3"/>
        <v>0</v>
      </c>
      <c r="G46" s="2">
        <f t="shared" si="3"/>
        <v>0</v>
      </c>
      <c r="H46" s="2">
        <f t="shared" si="3"/>
        <v>0</v>
      </c>
      <c r="I46" s="2">
        <f t="shared" si="3"/>
        <v>0</v>
      </c>
      <c r="J46" s="2">
        <f t="shared" si="3"/>
        <v>0</v>
      </c>
      <c r="K46" s="2">
        <f t="shared" si="3"/>
        <v>2</v>
      </c>
      <c r="L46" s="2">
        <f t="shared" si="3"/>
        <v>12</v>
      </c>
      <c r="M46" s="2">
        <f t="shared" si="3"/>
        <v>45.5</v>
      </c>
      <c r="N46" s="2">
        <f t="shared" si="3"/>
        <v>182</v>
      </c>
      <c r="O46" s="2">
        <f t="shared" si="3"/>
        <v>744.5</v>
      </c>
    </row>
    <row r="47" spans="1:15" x14ac:dyDescent="0.3">
      <c r="A47" t="s">
        <v>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11</v>
      </c>
      <c r="M47">
        <v>44</v>
      </c>
      <c r="N47">
        <v>181</v>
      </c>
      <c r="O47">
        <v>732</v>
      </c>
    </row>
    <row r="48" spans="1:15" x14ac:dyDescent="0.3">
      <c r="A48" t="s">
        <v>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3</v>
      </c>
      <c r="L48">
        <v>10</v>
      </c>
      <c r="M48">
        <v>45</v>
      </c>
      <c r="N48">
        <v>183</v>
      </c>
      <c r="O48">
        <v>784</v>
      </c>
    </row>
    <row r="49" spans="1:15" x14ac:dyDescent="0.3">
      <c r="A49" t="s">
        <v>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3</v>
      </c>
      <c r="L49">
        <v>11</v>
      </c>
      <c r="M49">
        <v>46</v>
      </c>
      <c r="N49">
        <v>181</v>
      </c>
      <c r="O49">
        <v>783</v>
      </c>
    </row>
    <row r="50" spans="1:15" x14ac:dyDescent="0.3">
      <c r="A50" t="s">
        <v>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</v>
      </c>
      <c r="L50">
        <v>11</v>
      </c>
      <c r="M50">
        <v>46</v>
      </c>
      <c r="N50">
        <v>182</v>
      </c>
      <c r="O50">
        <v>730</v>
      </c>
    </row>
    <row r="51" spans="1:15" x14ac:dyDescent="0.3">
      <c r="A51" t="s">
        <v>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10</v>
      </c>
      <c r="M51">
        <v>47</v>
      </c>
      <c r="N51">
        <v>185</v>
      </c>
      <c r="O51">
        <v>728</v>
      </c>
    </row>
    <row r="52" spans="1:15" x14ac:dyDescent="0.3">
      <c r="A52" t="s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10</v>
      </c>
      <c r="M52">
        <v>46</v>
      </c>
      <c r="N52">
        <v>184</v>
      </c>
      <c r="O52">
        <v>723</v>
      </c>
    </row>
    <row r="53" spans="1:15" x14ac:dyDescent="0.3">
      <c r="A53" t="s">
        <v>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10</v>
      </c>
      <c r="M53">
        <v>45</v>
      </c>
      <c r="N53">
        <v>183</v>
      </c>
      <c r="O53">
        <v>722</v>
      </c>
    </row>
    <row r="54" spans="1:15" x14ac:dyDescent="0.3">
      <c r="A54" t="s">
        <v>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2</v>
      </c>
      <c r="L54">
        <v>12</v>
      </c>
      <c r="M54">
        <v>45</v>
      </c>
      <c r="N54">
        <v>183</v>
      </c>
      <c r="O54">
        <v>723</v>
      </c>
    </row>
    <row r="55" spans="1:15" x14ac:dyDescent="0.3">
      <c r="A55" t="s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</v>
      </c>
      <c r="L55">
        <v>10</v>
      </c>
      <c r="M55">
        <v>44</v>
      </c>
      <c r="N55">
        <v>183</v>
      </c>
      <c r="O55">
        <v>729</v>
      </c>
    </row>
    <row r="56" spans="1:15" x14ac:dyDescent="0.3">
      <c r="A56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3</v>
      </c>
      <c r="L56">
        <v>11</v>
      </c>
      <c r="M56">
        <v>44</v>
      </c>
      <c r="N56">
        <v>183</v>
      </c>
      <c r="O56">
        <v>727</v>
      </c>
    </row>
    <row r="57" spans="1:15" s="2" customFormat="1" x14ac:dyDescent="0.3">
      <c r="A57" s="2" t="s">
        <v>12</v>
      </c>
      <c r="B57" s="2">
        <f>MEDIAN(B47:B56)</f>
        <v>0</v>
      </c>
      <c r="C57" s="2">
        <f t="shared" ref="C57:O57" si="4">MEDIAN(C47:C56)</f>
        <v>0</v>
      </c>
      <c r="D57" s="2">
        <f t="shared" si="4"/>
        <v>0</v>
      </c>
      <c r="E57" s="2">
        <f t="shared" si="4"/>
        <v>0</v>
      </c>
      <c r="F57" s="2">
        <f t="shared" si="4"/>
        <v>0</v>
      </c>
      <c r="G57" s="2">
        <f t="shared" si="4"/>
        <v>0</v>
      </c>
      <c r="H57" s="2">
        <f t="shared" si="4"/>
        <v>0</v>
      </c>
      <c r="I57" s="2">
        <f t="shared" si="4"/>
        <v>0</v>
      </c>
      <c r="J57" s="2">
        <f t="shared" si="4"/>
        <v>0</v>
      </c>
      <c r="K57" s="2">
        <f t="shared" si="4"/>
        <v>3</v>
      </c>
      <c r="L57" s="2">
        <f t="shared" si="4"/>
        <v>10.5</v>
      </c>
      <c r="M57" s="2">
        <f t="shared" si="4"/>
        <v>45</v>
      </c>
      <c r="N57" s="2">
        <f t="shared" si="4"/>
        <v>183</v>
      </c>
      <c r="O57" s="2">
        <f t="shared" si="4"/>
        <v>728.5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178A-8893-43F2-836E-2579DD055E9F}">
  <dimension ref="A1:AL57"/>
  <sheetViews>
    <sheetView zoomScale="70" zoomScaleNormal="70" workbookViewId="0">
      <selection activeCell="V5" sqref="V5:AL10"/>
    </sheetView>
  </sheetViews>
  <sheetFormatPr defaultRowHeight="14.4" x14ac:dyDescent="0.3"/>
  <cols>
    <col min="1" max="1" width="19.88671875" bestFit="1" customWidth="1"/>
    <col min="22" max="22" width="24.109375" bestFit="1" customWidth="1"/>
  </cols>
  <sheetData>
    <row r="1" spans="1:38" x14ac:dyDescent="0.3">
      <c r="A1" t="s">
        <v>7</v>
      </c>
    </row>
    <row r="2" spans="1:38" s="4" customFormat="1" x14ac:dyDescent="0.3">
      <c r="B2" s="4">
        <v>2</v>
      </c>
      <c r="C2" s="4">
        <v>4</v>
      </c>
      <c r="D2" s="4">
        <v>8</v>
      </c>
      <c r="E2" s="4">
        <v>16</v>
      </c>
      <c r="F2" s="4">
        <v>32</v>
      </c>
      <c r="G2" s="4">
        <v>64</v>
      </c>
      <c r="H2" s="4">
        <v>128</v>
      </c>
      <c r="I2" s="4">
        <v>256</v>
      </c>
      <c r="J2" s="4">
        <v>512</v>
      </c>
      <c r="K2" s="4">
        <v>1024</v>
      </c>
      <c r="L2" s="4">
        <v>2048</v>
      </c>
      <c r="M2" s="4">
        <v>4096</v>
      </c>
      <c r="N2" s="4">
        <v>8192</v>
      </c>
      <c r="O2" s="4">
        <v>16384</v>
      </c>
      <c r="P2" s="4">
        <f>2*O2</f>
        <v>32768</v>
      </c>
      <c r="Q2" s="4">
        <f>2*P2</f>
        <v>65536</v>
      </c>
    </row>
    <row r="3" spans="1:38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8</v>
      </c>
      <c r="M3">
        <v>22</v>
      </c>
      <c r="N3">
        <v>86</v>
      </c>
      <c r="O3">
        <v>332</v>
      </c>
      <c r="P3">
        <v>1352</v>
      </c>
      <c r="Q3">
        <v>6611</v>
      </c>
    </row>
    <row r="4" spans="1:38" x14ac:dyDescent="0.3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6</v>
      </c>
      <c r="M4">
        <v>21</v>
      </c>
      <c r="N4">
        <v>84</v>
      </c>
      <c r="O4">
        <v>339</v>
      </c>
      <c r="P4">
        <v>1443</v>
      </c>
      <c r="Q4">
        <v>6217</v>
      </c>
    </row>
    <row r="5" spans="1:38" x14ac:dyDescent="0.3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>
        <v>21</v>
      </c>
      <c r="N5">
        <v>82</v>
      </c>
      <c r="O5">
        <v>337</v>
      </c>
      <c r="P5">
        <v>1356</v>
      </c>
      <c r="Q5">
        <v>5718</v>
      </c>
      <c r="V5" s="4"/>
      <c r="W5" s="4">
        <v>2</v>
      </c>
      <c r="X5" s="4">
        <v>4</v>
      </c>
      <c r="Y5" s="4">
        <v>8</v>
      </c>
      <c r="Z5" s="4">
        <v>16</v>
      </c>
      <c r="AA5" s="4">
        <v>32</v>
      </c>
      <c r="AB5" s="4">
        <v>64</v>
      </c>
      <c r="AC5" s="4">
        <v>128</v>
      </c>
      <c r="AD5" s="4">
        <v>256</v>
      </c>
      <c r="AE5" s="4">
        <v>512</v>
      </c>
      <c r="AF5" s="4">
        <v>1024</v>
      </c>
      <c r="AG5" s="4">
        <v>2048</v>
      </c>
      <c r="AH5" s="4">
        <v>4096</v>
      </c>
      <c r="AI5" s="4">
        <v>8192</v>
      </c>
      <c r="AJ5" s="4">
        <v>16384</v>
      </c>
      <c r="AK5" s="4">
        <f>2*AJ5</f>
        <v>32768</v>
      </c>
      <c r="AL5" s="4">
        <f>2*AK5</f>
        <v>65536</v>
      </c>
    </row>
    <row r="6" spans="1:38" x14ac:dyDescent="0.3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6</v>
      </c>
      <c r="M6">
        <v>21</v>
      </c>
      <c r="N6">
        <v>85</v>
      </c>
      <c r="O6">
        <v>335</v>
      </c>
      <c r="P6">
        <v>1327</v>
      </c>
      <c r="Q6">
        <v>5419</v>
      </c>
      <c r="V6" t="s">
        <v>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5.5</v>
      </c>
      <c r="AH6">
        <v>20.5</v>
      </c>
      <c r="AI6">
        <v>83.5</v>
      </c>
      <c r="AJ6">
        <v>334</v>
      </c>
      <c r="AK6">
        <v>1354</v>
      </c>
      <c r="AL6">
        <v>5721</v>
      </c>
    </row>
    <row r="7" spans="1:38" x14ac:dyDescent="0.3">
      <c r="A7" t="s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5</v>
      </c>
      <c r="M7">
        <v>20</v>
      </c>
      <c r="N7">
        <v>82</v>
      </c>
      <c r="O7">
        <v>339</v>
      </c>
      <c r="P7">
        <v>1326</v>
      </c>
      <c r="Q7">
        <v>5978</v>
      </c>
      <c r="V7" t="s">
        <v>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</v>
      </c>
      <c r="AH7">
        <v>21.5</v>
      </c>
      <c r="AI7">
        <v>95</v>
      </c>
      <c r="AJ7">
        <v>352</v>
      </c>
      <c r="AK7">
        <v>1336</v>
      </c>
      <c r="AL7">
        <v>5578.5</v>
      </c>
    </row>
    <row r="8" spans="1:38" x14ac:dyDescent="0.3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6</v>
      </c>
      <c r="M8">
        <v>19</v>
      </c>
      <c r="N8">
        <v>83</v>
      </c>
      <c r="O8">
        <v>334</v>
      </c>
      <c r="P8">
        <v>1344</v>
      </c>
      <c r="Q8">
        <v>5724</v>
      </c>
      <c r="V8" t="s">
        <v>10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0.5</v>
      </c>
      <c r="AG8">
        <v>5</v>
      </c>
      <c r="AH8">
        <v>21</v>
      </c>
      <c r="AI8">
        <v>84.5</v>
      </c>
      <c r="AJ8">
        <v>339.5</v>
      </c>
      <c r="AK8">
        <v>1369</v>
      </c>
      <c r="AL8">
        <v>5661</v>
      </c>
    </row>
    <row r="9" spans="1:38" x14ac:dyDescent="0.3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5</v>
      </c>
      <c r="M9">
        <v>20</v>
      </c>
      <c r="N9">
        <v>83</v>
      </c>
      <c r="O9">
        <v>333</v>
      </c>
      <c r="P9">
        <v>1339</v>
      </c>
      <c r="Q9">
        <v>5610</v>
      </c>
      <c r="V9" t="s">
        <v>11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5</v>
      </c>
      <c r="AH9">
        <v>21</v>
      </c>
      <c r="AI9">
        <v>83</v>
      </c>
      <c r="AJ9">
        <v>344</v>
      </c>
      <c r="AK9">
        <v>1382</v>
      </c>
      <c r="AL9">
        <v>5452.5</v>
      </c>
    </row>
    <row r="10" spans="1:38" x14ac:dyDescent="0.3">
      <c r="A10" t="s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4</v>
      </c>
      <c r="M10">
        <v>20</v>
      </c>
      <c r="N10">
        <v>84</v>
      </c>
      <c r="O10">
        <v>332</v>
      </c>
      <c r="P10">
        <v>1367</v>
      </c>
      <c r="Q10">
        <v>5798</v>
      </c>
      <c r="V10" t="s">
        <v>12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0.5</v>
      </c>
      <c r="AG10">
        <v>5</v>
      </c>
      <c r="AH10">
        <v>21</v>
      </c>
      <c r="AI10">
        <v>83</v>
      </c>
      <c r="AJ10">
        <v>336</v>
      </c>
      <c r="AK10">
        <v>1387.5</v>
      </c>
      <c r="AL10">
        <v>5434</v>
      </c>
    </row>
    <row r="11" spans="1:38" x14ac:dyDescent="0.3">
      <c r="A11" t="s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4</v>
      </c>
      <c r="M11">
        <v>19</v>
      </c>
      <c r="N11">
        <v>85</v>
      </c>
      <c r="O11">
        <v>334</v>
      </c>
      <c r="P11">
        <v>1595</v>
      </c>
      <c r="Q11">
        <v>5477</v>
      </c>
    </row>
    <row r="12" spans="1:38" x14ac:dyDescent="0.3">
      <c r="A12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5</v>
      </c>
      <c r="M12">
        <v>21</v>
      </c>
      <c r="N12">
        <v>82</v>
      </c>
      <c r="O12">
        <v>334</v>
      </c>
      <c r="P12">
        <v>1573</v>
      </c>
      <c r="Q12">
        <v>5557</v>
      </c>
    </row>
    <row r="13" spans="1:38" s="2" customFormat="1" x14ac:dyDescent="0.3">
      <c r="A13" s="2" t="s">
        <v>8</v>
      </c>
      <c r="B13" s="2">
        <f>MEDIAN(B3:B12)</f>
        <v>0</v>
      </c>
      <c r="C13" s="2">
        <f t="shared" ref="C13:O13" si="0">MEDIAN(C3:C12)</f>
        <v>0</v>
      </c>
      <c r="D13" s="2">
        <f t="shared" si="0"/>
        <v>0</v>
      </c>
      <c r="E13" s="2">
        <f t="shared" si="0"/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2">
        <f t="shared" si="0"/>
        <v>1</v>
      </c>
      <c r="L13" s="2">
        <f t="shared" si="0"/>
        <v>5.5</v>
      </c>
      <c r="M13" s="2">
        <f t="shared" si="0"/>
        <v>20.5</v>
      </c>
      <c r="N13" s="2">
        <f t="shared" si="0"/>
        <v>83.5</v>
      </c>
      <c r="O13" s="2">
        <f t="shared" si="0"/>
        <v>334</v>
      </c>
      <c r="P13" s="2">
        <f t="shared" ref="P13" si="1">MEDIAN(P3:P12)</f>
        <v>1354</v>
      </c>
      <c r="Q13" s="2">
        <f t="shared" ref="Q13" si="2">MEDIAN(Q3:Q12)</f>
        <v>5721</v>
      </c>
    </row>
    <row r="14" spans="1:38" x14ac:dyDescent="0.3">
      <c r="A14" t="s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4</v>
      </c>
      <c r="M14">
        <v>21</v>
      </c>
      <c r="N14">
        <v>83</v>
      </c>
      <c r="O14">
        <v>332</v>
      </c>
      <c r="P14">
        <v>1458</v>
      </c>
      <c r="Q14">
        <v>5569</v>
      </c>
    </row>
    <row r="15" spans="1:38" x14ac:dyDescent="0.3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6</v>
      </c>
      <c r="M15">
        <v>20</v>
      </c>
      <c r="N15">
        <v>83</v>
      </c>
      <c r="O15">
        <v>332</v>
      </c>
      <c r="P15">
        <v>1433</v>
      </c>
      <c r="Q15">
        <v>5342</v>
      </c>
    </row>
    <row r="16" spans="1:38" x14ac:dyDescent="0.3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</v>
      </c>
      <c r="M16">
        <v>22</v>
      </c>
      <c r="N16">
        <v>94</v>
      </c>
      <c r="O16">
        <v>365</v>
      </c>
      <c r="P16">
        <v>1337</v>
      </c>
      <c r="Q16">
        <v>5565</v>
      </c>
    </row>
    <row r="17" spans="1:17" x14ac:dyDescent="0.3">
      <c r="A17" t="s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20</v>
      </c>
      <c r="N17">
        <v>97</v>
      </c>
      <c r="O17">
        <v>385</v>
      </c>
      <c r="P17">
        <v>1335</v>
      </c>
      <c r="Q17">
        <v>5597</v>
      </c>
    </row>
    <row r="18" spans="1:17" x14ac:dyDescent="0.3">
      <c r="A18" t="s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</v>
      </c>
      <c r="M18">
        <v>22</v>
      </c>
      <c r="N18">
        <v>114</v>
      </c>
      <c r="O18">
        <v>475</v>
      </c>
      <c r="P18">
        <v>1331</v>
      </c>
      <c r="Q18">
        <v>5649</v>
      </c>
    </row>
    <row r="19" spans="1:17" x14ac:dyDescent="0.3">
      <c r="A19" t="s">
        <v>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6</v>
      </c>
      <c r="M19">
        <v>23</v>
      </c>
      <c r="N19">
        <v>112</v>
      </c>
      <c r="O19">
        <v>386</v>
      </c>
      <c r="P19">
        <v>1331</v>
      </c>
      <c r="Q19">
        <v>5725</v>
      </c>
    </row>
    <row r="20" spans="1:17" x14ac:dyDescent="0.3">
      <c r="A20" t="s">
        <v>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M20">
        <v>20</v>
      </c>
      <c r="N20">
        <v>106</v>
      </c>
      <c r="O20">
        <v>332</v>
      </c>
      <c r="P20">
        <v>1398</v>
      </c>
      <c r="Q20">
        <v>5446</v>
      </c>
    </row>
    <row r="21" spans="1:17" x14ac:dyDescent="0.3">
      <c r="A21" t="s">
        <v>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>
        <v>22</v>
      </c>
      <c r="N21">
        <v>96</v>
      </c>
      <c r="O21">
        <v>333</v>
      </c>
      <c r="P21">
        <v>1333</v>
      </c>
      <c r="Q21">
        <v>5588</v>
      </c>
    </row>
    <row r="22" spans="1:17" x14ac:dyDescent="0.3">
      <c r="A22" t="s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5</v>
      </c>
      <c r="M22">
        <v>20</v>
      </c>
      <c r="N22">
        <v>85</v>
      </c>
      <c r="O22">
        <v>339</v>
      </c>
      <c r="P22">
        <v>1337</v>
      </c>
      <c r="Q22">
        <v>5776</v>
      </c>
    </row>
    <row r="23" spans="1:17" x14ac:dyDescent="0.3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22</v>
      </c>
      <c r="N23">
        <v>84</v>
      </c>
      <c r="O23">
        <v>367</v>
      </c>
      <c r="P23">
        <v>1332</v>
      </c>
      <c r="Q23">
        <v>5502</v>
      </c>
    </row>
    <row r="24" spans="1:17" s="2" customFormat="1" x14ac:dyDescent="0.3">
      <c r="A24" s="2" t="s">
        <v>9</v>
      </c>
      <c r="B24" s="2">
        <f>MEDIAN(B14:B23)</f>
        <v>0</v>
      </c>
      <c r="C24" s="2">
        <f t="shared" ref="C24:O24" si="3">MEDIAN(C14:C23)</f>
        <v>0</v>
      </c>
      <c r="D24" s="2">
        <f t="shared" si="3"/>
        <v>0</v>
      </c>
      <c r="E24" s="2">
        <f t="shared" si="3"/>
        <v>0</v>
      </c>
      <c r="F24" s="2">
        <f t="shared" si="3"/>
        <v>0</v>
      </c>
      <c r="G24" s="2">
        <f t="shared" si="3"/>
        <v>0</v>
      </c>
      <c r="H24" s="2">
        <f t="shared" si="3"/>
        <v>0</v>
      </c>
      <c r="I24" s="2">
        <f t="shared" si="3"/>
        <v>0</v>
      </c>
      <c r="J24" s="2">
        <f t="shared" si="3"/>
        <v>0</v>
      </c>
      <c r="K24" s="2">
        <f t="shared" si="3"/>
        <v>0</v>
      </c>
      <c r="L24" s="2">
        <f t="shared" si="3"/>
        <v>5</v>
      </c>
      <c r="M24" s="2">
        <f t="shared" si="3"/>
        <v>21.5</v>
      </c>
      <c r="N24" s="2">
        <f t="shared" si="3"/>
        <v>95</v>
      </c>
      <c r="O24" s="2">
        <f t="shared" si="3"/>
        <v>352</v>
      </c>
      <c r="P24" s="2">
        <f t="shared" ref="P24" si="4">MEDIAN(P14:P23)</f>
        <v>1336</v>
      </c>
      <c r="Q24" s="2">
        <f t="shared" ref="Q24" si="5">MEDIAN(Q14:Q23)</f>
        <v>5578.5</v>
      </c>
    </row>
    <row r="25" spans="1:17" x14ac:dyDescent="0.3">
      <c r="A25" t="s">
        <v>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22</v>
      </c>
      <c r="N25">
        <v>84</v>
      </c>
      <c r="O25">
        <v>332</v>
      </c>
      <c r="P25">
        <v>1342</v>
      </c>
      <c r="Q25">
        <v>5765</v>
      </c>
    </row>
    <row r="26" spans="1:17" x14ac:dyDescent="0.3">
      <c r="A26" t="s">
        <v>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</v>
      </c>
      <c r="M26">
        <v>21</v>
      </c>
      <c r="N26">
        <v>85</v>
      </c>
      <c r="O26">
        <v>340</v>
      </c>
      <c r="P26">
        <v>1365</v>
      </c>
      <c r="Q26">
        <v>5775</v>
      </c>
    </row>
    <row r="27" spans="1:17" x14ac:dyDescent="0.3">
      <c r="A27" t="s">
        <v>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5</v>
      </c>
      <c r="M27">
        <v>20</v>
      </c>
      <c r="N27">
        <v>84</v>
      </c>
      <c r="O27">
        <v>338</v>
      </c>
      <c r="P27">
        <v>1337</v>
      </c>
      <c r="Q27">
        <v>5639</v>
      </c>
    </row>
    <row r="28" spans="1:17" x14ac:dyDescent="0.3">
      <c r="A28" t="s">
        <v>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5</v>
      </c>
      <c r="M28">
        <v>21</v>
      </c>
      <c r="N28">
        <v>84</v>
      </c>
      <c r="O28">
        <v>348</v>
      </c>
      <c r="P28">
        <v>1425</v>
      </c>
      <c r="Q28">
        <v>5717</v>
      </c>
    </row>
    <row r="29" spans="1:17" x14ac:dyDescent="0.3">
      <c r="A29" t="s">
        <v>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5</v>
      </c>
      <c r="M29">
        <v>22</v>
      </c>
      <c r="N29">
        <v>85</v>
      </c>
      <c r="O29">
        <v>352</v>
      </c>
      <c r="P29">
        <v>1422</v>
      </c>
      <c r="Q29">
        <v>5683</v>
      </c>
    </row>
    <row r="30" spans="1:17" x14ac:dyDescent="0.3">
      <c r="A30" t="s">
        <v>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4</v>
      </c>
      <c r="M30">
        <v>21</v>
      </c>
      <c r="N30">
        <v>86</v>
      </c>
      <c r="O30">
        <v>340</v>
      </c>
      <c r="P30">
        <v>1415</v>
      </c>
      <c r="Q30">
        <v>5572</v>
      </c>
    </row>
    <row r="31" spans="1:17" x14ac:dyDescent="0.3">
      <c r="A31" t="s">
        <v>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</v>
      </c>
      <c r="M31">
        <v>23</v>
      </c>
      <c r="N31">
        <v>86</v>
      </c>
      <c r="O31">
        <v>343</v>
      </c>
      <c r="P31">
        <v>1373</v>
      </c>
      <c r="Q31">
        <v>5938</v>
      </c>
    </row>
    <row r="32" spans="1:17" x14ac:dyDescent="0.3">
      <c r="A32" t="s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6</v>
      </c>
      <c r="M32">
        <v>21</v>
      </c>
      <c r="N32">
        <v>83</v>
      </c>
      <c r="O32">
        <v>335</v>
      </c>
      <c r="P32">
        <v>1337</v>
      </c>
      <c r="Q32">
        <v>5421</v>
      </c>
    </row>
    <row r="33" spans="1:17" x14ac:dyDescent="0.3">
      <c r="A33" t="s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5</v>
      </c>
      <c r="M33">
        <v>23</v>
      </c>
      <c r="N33">
        <v>87</v>
      </c>
      <c r="O33">
        <v>333</v>
      </c>
      <c r="P33">
        <v>1348</v>
      </c>
      <c r="Q33">
        <v>5582</v>
      </c>
    </row>
    <row r="34" spans="1:17" x14ac:dyDescent="0.3">
      <c r="A34" t="s">
        <v>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4</v>
      </c>
      <c r="M34">
        <v>21</v>
      </c>
      <c r="N34">
        <v>83</v>
      </c>
      <c r="O34">
        <v>339</v>
      </c>
      <c r="P34">
        <v>1449</v>
      </c>
      <c r="Q34">
        <v>5514</v>
      </c>
    </row>
    <row r="35" spans="1:17" s="2" customFormat="1" x14ac:dyDescent="0.3">
      <c r="A35" s="2" t="s">
        <v>10</v>
      </c>
      <c r="B35" s="2">
        <f>MEDIAN(B25:B34)</f>
        <v>0</v>
      </c>
      <c r="C35" s="2">
        <f t="shared" ref="C35:O35" si="6">MEDIAN(C25:C34)</f>
        <v>0</v>
      </c>
      <c r="D35" s="2">
        <f t="shared" si="6"/>
        <v>0</v>
      </c>
      <c r="E35" s="2">
        <f t="shared" si="6"/>
        <v>0</v>
      </c>
      <c r="F35" s="2">
        <f t="shared" si="6"/>
        <v>0</v>
      </c>
      <c r="G35" s="2">
        <f t="shared" si="6"/>
        <v>0</v>
      </c>
      <c r="H35" s="2">
        <f t="shared" si="6"/>
        <v>0</v>
      </c>
      <c r="I35" s="2">
        <f t="shared" si="6"/>
        <v>0</v>
      </c>
      <c r="J35" s="2">
        <f t="shared" si="6"/>
        <v>0</v>
      </c>
      <c r="K35" s="2">
        <f t="shared" si="6"/>
        <v>0.5</v>
      </c>
      <c r="L35" s="2">
        <f t="shared" si="6"/>
        <v>5</v>
      </c>
      <c r="M35" s="2">
        <f t="shared" si="6"/>
        <v>21</v>
      </c>
      <c r="N35" s="2">
        <f t="shared" si="6"/>
        <v>84.5</v>
      </c>
      <c r="O35" s="2">
        <f t="shared" si="6"/>
        <v>339.5</v>
      </c>
      <c r="P35" s="2">
        <f t="shared" ref="P35" si="7">MEDIAN(P25:P34)</f>
        <v>1369</v>
      </c>
      <c r="Q35" s="2">
        <f t="shared" ref="Q35" si="8">MEDIAN(Q25:Q34)</f>
        <v>5661</v>
      </c>
    </row>
    <row r="36" spans="1:17" x14ac:dyDescent="0.3">
      <c r="A36" t="s">
        <v>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5</v>
      </c>
      <c r="M36">
        <v>22</v>
      </c>
      <c r="N36">
        <v>83</v>
      </c>
      <c r="O36">
        <v>334</v>
      </c>
      <c r="P36">
        <v>1329</v>
      </c>
      <c r="Q36">
        <v>5437</v>
      </c>
    </row>
    <row r="37" spans="1:17" x14ac:dyDescent="0.3">
      <c r="A37" t="s">
        <v>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6</v>
      </c>
      <c r="M37">
        <v>21</v>
      </c>
      <c r="N37">
        <v>82</v>
      </c>
      <c r="O37">
        <v>342</v>
      </c>
      <c r="P37">
        <v>1447</v>
      </c>
      <c r="Q37">
        <v>5633</v>
      </c>
    </row>
    <row r="38" spans="1:17" x14ac:dyDescent="0.3">
      <c r="A38" t="s">
        <v>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4</v>
      </c>
      <c r="M38">
        <v>22</v>
      </c>
      <c r="N38">
        <v>83</v>
      </c>
      <c r="O38">
        <v>385</v>
      </c>
      <c r="P38">
        <v>1347</v>
      </c>
      <c r="Q38">
        <v>5344</v>
      </c>
    </row>
    <row r="39" spans="1:17" x14ac:dyDescent="0.3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4</v>
      </c>
      <c r="M39">
        <v>21</v>
      </c>
      <c r="N39">
        <v>83</v>
      </c>
      <c r="O39">
        <v>363</v>
      </c>
      <c r="P39">
        <v>1333</v>
      </c>
      <c r="Q39">
        <v>5328</v>
      </c>
    </row>
    <row r="40" spans="1:17" x14ac:dyDescent="0.3">
      <c r="A40" t="s">
        <v>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4</v>
      </c>
      <c r="M40">
        <v>21</v>
      </c>
      <c r="N40">
        <v>84</v>
      </c>
      <c r="O40">
        <v>347</v>
      </c>
      <c r="P40">
        <v>1476</v>
      </c>
      <c r="Q40">
        <v>5468</v>
      </c>
    </row>
    <row r="41" spans="1:17" x14ac:dyDescent="0.3">
      <c r="A41" t="s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5</v>
      </c>
      <c r="M41">
        <v>21</v>
      </c>
      <c r="N41">
        <v>83</v>
      </c>
      <c r="O41">
        <v>333</v>
      </c>
      <c r="P41">
        <v>1417</v>
      </c>
      <c r="Q41">
        <v>5394</v>
      </c>
    </row>
    <row r="42" spans="1:17" x14ac:dyDescent="0.3">
      <c r="A42" t="s">
        <v>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</v>
      </c>
      <c r="M42">
        <v>20</v>
      </c>
      <c r="N42">
        <v>82</v>
      </c>
      <c r="O42">
        <v>334</v>
      </c>
      <c r="P42">
        <v>1339</v>
      </c>
      <c r="Q42">
        <v>5695</v>
      </c>
    </row>
    <row r="43" spans="1:17" x14ac:dyDescent="0.3">
      <c r="A43" t="s">
        <v>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7</v>
      </c>
      <c r="M43">
        <v>22</v>
      </c>
      <c r="N43">
        <v>86</v>
      </c>
      <c r="O43">
        <v>346</v>
      </c>
      <c r="P43">
        <v>1337</v>
      </c>
      <c r="Q43">
        <v>5538</v>
      </c>
    </row>
    <row r="44" spans="1:17" x14ac:dyDescent="0.3">
      <c r="A44" t="s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4</v>
      </c>
      <c r="M44">
        <v>21</v>
      </c>
      <c r="N44">
        <v>82</v>
      </c>
      <c r="O44">
        <v>333</v>
      </c>
      <c r="P44">
        <v>1423</v>
      </c>
      <c r="Q44">
        <v>5427</v>
      </c>
    </row>
    <row r="45" spans="1:17" x14ac:dyDescent="0.3">
      <c r="A45" t="s">
        <v>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</v>
      </c>
      <c r="M45">
        <v>23</v>
      </c>
      <c r="N45">
        <v>86</v>
      </c>
      <c r="O45">
        <v>368</v>
      </c>
      <c r="P45">
        <v>1476</v>
      </c>
      <c r="Q45">
        <v>5496</v>
      </c>
    </row>
    <row r="46" spans="1:17" s="2" customFormat="1" x14ac:dyDescent="0.3">
      <c r="A46" s="2" t="s">
        <v>11</v>
      </c>
      <c r="B46" s="2">
        <f>MEDIAN(B36:B45)</f>
        <v>0</v>
      </c>
      <c r="C46" s="2">
        <f t="shared" ref="C46:O46" si="9">MEDIAN(C36:C45)</f>
        <v>0</v>
      </c>
      <c r="D46" s="2">
        <f t="shared" si="9"/>
        <v>0</v>
      </c>
      <c r="E46" s="2">
        <f t="shared" si="9"/>
        <v>0</v>
      </c>
      <c r="F46" s="2">
        <f t="shared" si="9"/>
        <v>0</v>
      </c>
      <c r="G46" s="2">
        <f t="shared" si="9"/>
        <v>0</v>
      </c>
      <c r="H46" s="2">
        <f t="shared" si="9"/>
        <v>0</v>
      </c>
      <c r="I46" s="2">
        <f t="shared" si="9"/>
        <v>0</v>
      </c>
      <c r="J46" s="2">
        <f t="shared" si="9"/>
        <v>0</v>
      </c>
      <c r="K46" s="2">
        <f t="shared" si="9"/>
        <v>2</v>
      </c>
      <c r="L46" s="2">
        <f t="shared" si="9"/>
        <v>5</v>
      </c>
      <c r="M46" s="2">
        <f t="shared" si="9"/>
        <v>21</v>
      </c>
      <c r="N46" s="2">
        <f t="shared" si="9"/>
        <v>83</v>
      </c>
      <c r="O46" s="2">
        <f t="shared" si="9"/>
        <v>344</v>
      </c>
      <c r="P46" s="2">
        <f t="shared" ref="P46" si="10">MEDIAN(P36:P45)</f>
        <v>1382</v>
      </c>
      <c r="Q46" s="2">
        <f t="shared" ref="Q46" si="11">MEDIAN(Q36:Q45)</f>
        <v>5452.5</v>
      </c>
    </row>
    <row r="47" spans="1:17" x14ac:dyDescent="0.3">
      <c r="A47" t="s">
        <v>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</v>
      </c>
      <c r="M47">
        <v>20</v>
      </c>
      <c r="N47">
        <v>83</v>
      </c>
      <c r="O47">
        <v>334</v>
      </c>
      <c r="P47">
        <v>1444</v>
      </c>
      <c r="Q47">
        <v>5405</v>
      </c>
    </row>
    <row r="48" spans="1:17" x14ac:dyDescent="0.3">
      <c r="A48" t="s">
        <v>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</v>
      </c>
      <c r="M48">
        <v>21</v>
      </c>
      <c r="N48">
        <v>86</v>
      </c>
      <c r="O48">
        <v>337</v>
      </c>
      <c r="P48">
        <v>1347</v>
      </c>
      <c r="Q48">
        <v>5555</v>
      </c>
    </row>
    <row r="49" spans="1:17" x14ac:dyDescent="0.3">
      <c r="A49" t="s">
        <v>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  <c r="M49">
        <v>22</v>
      </c>
      <c r="N49">
        <v>83</v>
      </c>
      <c r="O49">
        <v>337</v>
      </c>
      <c r="P49">
        <v>1335</v>
      </c>
      <c r="Q49">
        <v>5352</v>
      </c>
    </row>
    <row r="50" spans="1:17" x14ac:dyDescent="0.3">
      <c r="A50" t="s">
        <v>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M50">
        <v>22</v>
      </c>
      <c r="N50">
        <v>83</v>
      </c>
      <c r="O50">
        <v>335</v>
      </c>
      <c r="P50">
        <v>1461</v>
      </c>
      <c r="Q50">
        <v>5380</v>
      </c>
    </row>
    <row r="51" spans="1:17" x14ac:dyDescent="0.3">
      <c r="A51" t="s">
        <v>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9</v>
      </c>
      <c r="M51">
        <v>23</v>
      </c>
      <c r="N51">
        <v>82</v>
      </c>
      <c r="O51">
        <v>334</v>
      </c>
      <c r="P51">
        <v>1418</v>
      </c>
      <c r="Q51">
        <v>5611</v>
      </c>
    </row>
    <row r="52" spans="1:17" x14ac:dyDescent="0.3">
      <c r="A52" t="s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</v>
      </c>
      <c r="M52">
        <v>21</v>
      </c>
      <c r="N52">
        <v>83</v>
      </c>
      <c r="O52">
        <v>358</v>
      </c>
      <c r="P52">
        <v>1331</v>
      </c>
      <c r="Q52">
        <v>5371</v>
      </c>
    </row>
    <row r="53" spans="1:17" x14ac:dyDescent="0.3">
      <c r="A53" t="s">
        <v>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6</v>
      </c>
      <c r="M53">
        <v>21</v>
      </c>
      <c r="N53">
        <v>83</v>
      </c>
      <c r="O53">
        <v>388</v>
      </c>
      <c r="P53">
        <v>1505</v>
      </c>
      <c r="Q53">
        <v>5521</v>
      </c>
    </row>
    <row r="54" spans="1:17" x14ac:dyDescent="0.3">
      <c r="A54" t="s">
        <v>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4</v>
      </c>
      <c r="M54">
        <v>20</v>
      </c>
      <c r="N54">
        <v>83</v>
      </c>
      <c r="O54">
        <v>361</v>
      </c>
      <c r="P54">
        <v>1357</v>
      </c>
      <c r="Q54">
        <v>5343</v>
      </c>
    </row>
    <row r="55" spans="1:17" x14ac:dyDescent="0.3">
      <c r="A55" t="s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6</v>
      </c>
      <c r="M55">
        <v>20</v>
      </c>
      <c r="N55">
        <v>85</v>
      </c>
      <c r="O55">
        <v>332</v>
      </c>
      <c r="P55">
        <v>1333</v>
      </c>
      <c r="Q55">
        <v>5463</v>
      </c>
    </row>
    <row r="56" spans="1:17" x14ac:dyDescent="0.3">
      <c r="A56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5</v>
      </c>
      <c r="M56">
        <v>20</v>
      </c>
      <c r="N56">
        <v>85</v>
      </c>
      <c r="O56">
        <v>335</v>
      </c>
      <c r="P56">
        <v>1429</v>
      </c>
      <c r="Q56">
        <v>5493</v>
      </c>
    </row>
    <row r="57" spans="1:17" s="2" customFormat="1" x14ac:dyDescent="0.3">
      <c r="A57" s="2" t="s">
        <v>12</v>
      </c>
      <c r="B57" s="2">
        <f>MEDIAN(B47:B56)</f>
        <v>0</v>
      </c>
      <c r="C57" s="2">
        <f t="shared" ref="C57:O57" si="12">MEDIAN(C47:C56)</f>
        <v>0</v>
      </c>
      <c r="D57" s="2">
        <f t="shared" si="12"/>
        <v>0</v>
      </c>
      <c r="E57" s="2">
        <f t="shared" si="12"/>
        <v>0</v>
      </c>
      <c r="F57" s="2">
        <f t="shared" si="12"/>
        <v>0</v>
      </c>
      <c r="G57" s="2">
        <f t="shared" si="12"/>
        <v>0</v>
      </c>
      <c r="H57" s="2">
        <f t="shared" si="12"/>
        <v>0</v>
      </c>
      <c r="I57" s="2">
        <f t="shared" si="12"/>
        <v>0</v>
      </c>
      <c r="J57" s="2">
        <f t="shared" si="12"/>
        <v>0</v>
      </c>
      <c r="K57" s="2">
        <f t="shared" si="12"/>
        <v>0.5</v>
      </c>
      <c r="L57" s="2">
        <f t="shared" si="12"/>
        <v>5</v>
      </c>
      <c r="M57" s="2">
        <f t="shared" si="12"/>
        <v>21</v>
      </c>
      <c r="N57" s="2">
        <f t="shared" si="12"/>
        <v>83</v>
      </c>
      <c r="O57" s="2">
        <f t="shared" si="12"/>
        <v>336</v>
      </c>
      <c r="P57" s="2">
        <f t="shared" ref="P57" si="13">MEDIAN(P47:P56)</f>
        <v>1387.5</v>
      </c>
      <c r="Q57" s="2">
        <f t="shared" ref="Q57" si="14">MEDIAN(Q47:Q56)</f>
        <v>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D8AB-D3EE-4D6A-A104-C511FC1E4AA4}">
  <dimension ref="A1:Q23"/>
  <sheetViews>
    <sheetView topLeftCell="A2" zoomScaleNormal="100" workbookViewId="0">
      <selection activeCell="U34" sqref="U34"/>
    </sheetView>
  </sheetViews>
  <sheetFormatPr defaultRowHeight="14.4" x14ac:dyDescent="0.3"/>
  <cols>
    <col min="1" max="1" width="23.44140625" bestFit="1" customWidth="1"/>
  </cols>
  <sheetData>
    <row r="1" spans="1:15" ht="15" thickBot="1" x14ac:dyDescent="0.35">
      <c r="A1" t="s">
        <v>13</v>
      </c>
    </row>
    <row r="2" spans="1:15" x14ac:dyDescent="0.3">
      <c r="A2" s="3"/>
      <c r="B2" s="3">
        <v>2</v>
      </c>
      <c r="C2" s="3">
        <v>4</v>
      </c>
      <c r="D2" s="3">
        <v>8</v>
      </c>
      <c r="E2" s="5">
        <v>16</v>
      </c>
      <c r="F2" s="6">
        <v>20</v>
      </c>
      <c r="G2" s="6">
        <v>24</v>
      </c>
      <c r="H2" s="7">
        <v>28</v>
      </c>
    </row>
    <row r="3" spans="1:15" x14ac:dyDescent="0.3">
      <c r="A3" t="s">
        <v>8</v>
      </c>
      <c r="B3">
        <v>0</v>
      </c>
      <c r="C3">
        <v>0</v>
      </c>
      <c r="D3">
        <v>0</v>
      </c>
      <c r="E3" s="8">
        <v>0</v>
      </c>
      <c r="F3">
        <v>9</v>
      </c>
      <c r="G3">
        <v>138</v>
      </c>
      <c r="H3" s="9">
        <v>2137.5</v>
      </c>
    </row>
    <row r="4" spans="1:15" x14ac:dyDescent="0.3">
      <c r="A4" t="s">
        <v>9</v>
      </c>
      <c r="B4">
        <v>0</v>
      </c>
      <c r="C4">
        <v>0</v>
      </c>
      <c r="D4">
        <v>0</v>
      </c>
      <c r="E4" s="8">
        <v>0</v>
      </c>
      <c r="F4">
        <v>8</v>
      </c>
      <c r="G4">
        <v>134</v>
      </c>
      <c r="H4" s="9">
        <v>2126.5</v>
      </c>
    </row>
    <row r="5" spans="1:15" x14ac:dyDescent="0.3">
      <c r="A5" t="s">
        <v>10</v>
      </c>
      <c r="B5">
        <v>0</v>
      </c>
      <c r="C5">
        <v>0</v>
      </c>
      <c r="D5">
        <v>0</v>
      </c>
      <c r="E5" s="8">
        <v>0</v>
      </c>
      <c r="F5">
        <v>7.5</v>
      </c>
      <c r="G5">
        <v>134</v>
      </c>
      <c r="H5" s="9">
        <v>2137.5</v>
      </c>
    </row>
    <row r="6" spans="1:15" x14ac:dyDescent="0.3">
      <c r="A6" t="s">
        <v>11</v>
      </c>
      <c r="B6">
        <v>0</v>
      </c>
      <c r="C6">
        <v>0</v>
      </c>
      <c r="D6">
        <v>0</v>
      </c>
      <c r="E6" s="8">
        <v>0</v>
      </c>
      <c r="F6">
        <v>8</v>
      </c>
      <c r="G6">
        <v>132</v>
      </c>
      <c r="H6" s="9">
        <v>2136.5</v>
      </c>
    </row>
    <row r="7" spans="1:15" ht="15" thickBot="1" x14ac:dyDescent="0.35">
      <c r="A7" t="s">
        <v>12</v>
      </c>
      <c r="B7">
        <v>0</v>
      </c>
      <c r="C7">
        <v>0</v>
      </c>
      <c r="D7">
        <v>0</v>
      </c>
      <c r="E7" s="10">
        <v>0</v>
      </c>
      <c r="F7" s="11">
        <v>8</v>
      </c>
      <c r="G7" s="11">
        <v>143</v>
      </c>
      <c r="H7" s="12">
        <v>2185</v>
      </c>
    </row>
    <row r="9" spans="1:15" ht="15" thickBot="1" x14ac:dyDescent="0.35">
      <c r="A9" t="s">
        <v>14</v>
      </c>
    </row>
    <row r="10" spans="1:15" x14ac:dyDescent="0.3">
      <c r="A10" s="3"/>
      <c r="B10" s="3">
        <v>2</v>
      </c>
      <c r="C10" s="3">
        <v>4</v>
      </c>
      <c r="D10" s="3">
        <v>8</v>
      </c>
      <c r="E10" s="3">
        <v>16</v>
      </c>
      <c r="F10" s="3">
        <v>32</v>
      </c>
      <c r="G10" s="3">
        <v>64</v>
      </c>
      <c r="H10" s="3">
        <v>128</v>
      </c>
      <c r="I10" s="3">
        <v>256</v>
      </c>
      <c r="J10" s="5">
        <v>512</v>
      </c>
      <c r="K10" s="6">
        <v>1024</v>
      </c>
      <c r="L10" s="6">
        <v>2048</v>
      </c>
      <c r="M10" s="6">
        <v>4096</v>
      </c>
      <c r="N10" s="6">
        <v>8192</v>
      </c>
      <c r="O10" s="7">
        <v>16384</v>
      </c>
    </row>
    <row r="11" spans="1:15" x14ac:dyDescent="0.3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8">
        <v>0</v>
      </c>
      <c r="K11">
        <v>2</v>
      </c>
      <c r="L11">
        <v>12</v>
      </c>
      <c r="M11">
        <v>45</v>
      </c>
      <c r="N11">
        <v>181.5</v>
      </c>
      <c r="O11" s="9">
        <v>725.5</v>
      </c>
    </row>
    <row r="12" spans="1:15" x14ac:dyDescent="0.3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8">
        <v>0</v>
      </c>
      <c r="K12">
        <v>3</v>
      </c>
      <c r="L12">
        <v>11</v>
      </c>
      <c r="M12">
        <v>45</v>
      </c>
      <c r="N12">
        <v>182</v>
      </c>
      <c r="O12" s="9">
        <v>730.5</v>
      </c>
    </row>
    <row r="13" spans="1:15" x14ac:dyDescent="0.3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8">
        <v>0</v>
      </c>
      <c r="K13">
        <v>2.5</v>
      </c>
      <c r="L13">
        <v>11</v>
      </c>
      <c r="M13">
        <v>53</v>
      </c>
      <c r="N13">
        <v>182</v>
      </c>
      <c r="O13" s="9">
        <v>732</v>
      </c>
    </row>
    <row r="14" spans="1:15" x14ac:dyDescent="0.3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8">
        <v>0</v>
      </c>
      <c r="K14">
        <v>2</v>
      </c>
      <c r="L14">
        <v>12</v>
      </c>
      <c r="M14">
        <v>45.5</v>
      </c>
      <c r="N14">
        <v>182</v>
      </c>
      <c r="O14" s="9">
        <v>744.5</v>
      </c>
    </row>
    <row r="15" spans="1:15" ht="15" thickBot="1" x14ac:dyDescent="0.3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0">
        <v>0</v>
      </c>
      <c r="K15" s="11">
        <v>3</v>
      </c>
      <c r="L15" s="11">
        <v>10.5</v>
      </c>
      <c r="M15" s="11">
        <v>45</v>
      </c>
      <c r="N15" s="11">
        <v>183</v>
      </c>
      <c r="O15" s="12">
        <v>728.5</v>
      </c>
    </row>
    <row r="17" spans="1:17" ht="15" thickBot="1" x14ac:dyDescent="0.35">
      <c r="A17" t="s">
        <v>15</v>
      </c>
    </row>
    <row r="18" spans="1:17" x14ac:dyDescent="0.3">
      <c r="A18" s="3"/>
      <c r="B18" s="3">
        <v>2</v>
      </c>
      <c r="C18" s="3">
        <v>4</v>
      </c>
      <c r="D18" s="3">
        <v>8</v>
      </c>
      <c r="E18" s="3">
        <v>16</v>
      </c>
      <c r="F18" s="3">
        <v>32</v>
      </c>
      <c r="G18" s="3">
        <v>64</v>
      </c>
      <c r="H18" s="3">
        <v>128</v>
      </c>
      <c r="I18" s="3">
        <v>256</v>
      </c>
      <c r="J18" s="5">
        <v>512</v>
      </c>
      <c r="K18" s="6">
        <v>1024</v>
      </c>
      <c r="L18" s="6">
        <v>2048</v>
      </c>
      <c r="M18" s="6">
        <v>4096</v>
      </c>
      <c r="N18" s="6">
        <v>8192</v>
      </c>
      <c r="O18" s="6">
        <v>16384</v>
      </c>
      <c r="P18" s="6">
        <f>2*O18</f>
        <v>32768</v>
      </c>
      <c r="Q18" s="7">
        <f>2*P18</f>
        <v>65536</v>
      </c>
    </row>
    <row r="19" spans="1:17" x14ac:dyDescent="0.3">
      <c r="A19" t="s">
        <v>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8">
        <v>0</v>
      </c>
      <c r="K19">
        <v>1</v>
      </c>
      <c r="L19">
        <v>5.5</v>
      </c>
      <c r="M19">
        <v>20.5</v>
      </c>
      <c r="N19">
        <v>83.5</v>
      </c>
      <c r="O19">
        <v>334</v>
      </c>
      <c r="P19">
        <v>1354</v>
      </c>
      <c r="Q19" s="9">
        <v>5721</v>
      </c>
    </row>
    <row r="20" spans="1:17" x14ac:dyDescent="0.3">
      <c r="A20" t="s">
        <v>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8">
        <v>0</v>
      </c>
      <c r="K20">
        <v>0</v>
      </c>
      <c r="L20">
        <v>5</v>
      </c>
      <c r="M20">
        <v>21.5</v>
      </c>
      <c r="N20">
        <v>95</v>
      </c>
      <c r="O20">
        <v>352</v>
      </c>
      <c r="P20">
        <v>1336</v>
      </c>
      <c r="Q20" s="9">
        <v>5578.5</v>
      </c>
    </row>
    <row r="21" spans="1:17" x14ac:dyDescent="0.3">
      <c r="A21" t="s">
        <v>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8">
        <v>0</v>
      </c>
      <c r="K21">
        <v>0.5</v>
      </c>
      <c r="L21">
        <v>5</v>
      </c>
      <c r="M21">
        <v>21</v>
      </c>
      <c r="N21">
        <v>84.5</v>
      </c>
      <c r="O21">
        <v>339.5</v>
      </c>
      <c r="P21">
        <v>1369</v>
      </c>
      <c r="Q21" s="9">
        <v>5661</v>
      </c>
    </row>
    <row r="22" spans="1:17" x14ac:dyDescent="0.3">
      <c r="A22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8">
        <v>0</v>
      </c>
      <c r="K22">
        <v>2</v>
      </c>
      <c r="L22">
        <v>5</v>
      </c>
      <c r="M22">
        <v>21</v>
      </c>
      <c r="N22">
        <v>83</v>
      </c>
      <c r="O22">
        <v>344</v>
      </c>
      <c r="P22">
        <v>1382</v>
      </c>
      <c r="Q22" s="9">
        <v>5452.5</v>
      </c>
    </row>
    <row r="23" spans="1:17" ht="15" thickBot="1" x14ac:dyDescent="0.3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10">
        <v>0</v>
      </c>
      <c r="K23" s="11">
        <v>0.5</v>
      </c>
      <c r="L23" s="11">
        <v>5</v>
      </c>
      <c r="M23" s="11">
        <v>21</v>
      </c>
      <c r="N23" s="11">
        <v>83</v>
      </c>
      <c r="O23" s="11">
        <v>336</v>
      </c>
      <c r="P23" s="11">
        <v>1387.5</v>
      </c>
      <c r="Q23" s="12">
        <v>5434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784-E542-4631-BCD3-64620B0F3074}">
  <dimension ref="A1:AI46"/>
  <sheetViews>
    <sheetView zoomScale="40" zoomScaleNormal="40" workbookViewId="0">
      <selection activeCell="W9" sqref="W9"/>
    </sheetView>
  </sheetViews>
  <sheetFormatPr defaultRowHeight="14.4" x14ac:dyDescent="0.3"/>
  <cols>
    <col min="1" max="1" width="20.109375" bestFit="1" customWidth="1"/>
  </cols>
  <sheetData>
    <row r="1" spans="1:13" x14ac:dyDescent="0.3">
      <c r="A1" t="s">
        <v>22</v>
      </c>
    </row>
    <row r="2" spans="1:13" s="3" customFormat="1" x14ac:dyDescent="0.3"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>
        <f>2*L2</f>
        <v>32768</v>
      </c>
    </row>
    <row r="3" spans="1:13" x14ac:dyDescent="0.3">
      <c r="A3" t="s">
        <v>17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5</v>
      </c>
      <c r="I3">
        <v>29</v>
      </c>
      <c r="J3">
        <v>110</v>
      </c>
      <c r="K3">
        <v>475</v>
      </c>
      <c r="L3">
        <v>2098</v>
      </c>
      <c r="M3">
        <v>8877</v>
      </c>
    </row>
    <row r="4" spans="1:13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25</v>
      </c>
      <c r="J4">
        <v>110</v>
      </c>
      <c r="K4">
        <v>520</v>
      </c>
      <c r="L4">
        <v>2373</v>
      </c>
      <c r="M4">
        <v>8339</v>
      </c>
    </row>
    <row r="5" spans="1:13" x14ac:dyDescent="0.3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25</v>
      </c>
      <c r="J5">
        <v>121</v>
      </c>
      <c r="K5">
        <v>553</v>
      </c>
      <c r="L5">
        <v>2097</v>
      </c>
      <c r="M5">
        <v>9129</v>
      </c>
    </row>
    <row r="6" spans="1:13" x14ac:dyDescent="0.3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25</v>
      </c>
      <c r="J6">
        <v>186</v>
      </c>
      <c r="K6">
        <v>480</v>
      </c>
      <c r="L6">
        <v>2128</v>
      </c>
      <c r="M6">
        <v>8738</v>
      </c>
    </row>
    <row r="7" spans="1:13" x14ac:dyDescent="0.3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7</v>
      </c>
      <c r="I7">
        <v>29</v>
      </c>
      <c r="J7">
        <v>122</v>
      </c>
      <c r="K7">
        <v>534</v>
      </c>
      <c r="L7">
        <v>2059</v>
      </c>
      <c r="M7">
        <v>8825</v>
      </c>
    </row>
    <row r="8" spans="1:13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6</v>
      </c>
      <c r="I8">
        <v>28</v>
      </c>
      <c r="J8">
        <v>117</v>
      </c>
      <c r="K8">
        <v>528</v>
      </c>
      <c r="L8">
        <v>2227</v>
      </c>
      <c r="M8">
        <v>8584</v>
      </c>
    </row>
    <row r="9" spans="1:13" x14ac:dyDescent="0.3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</v>
      </c>
      <c r="I9">
        <v>24</v>
      </c>
      <c r="J9">
        <v>118</v>
      </c>
      <c r="K9">
        <v>521</v>
      </c>
      <c r="L9">
        <v>2283</v>
      </c>
      <c r="M9">
        <v>8734</v>
      </c>
    </row>
    <row r="10" spans="1:13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25</v>
      </c>
      <c r="J10">
        <v>110</v>
      </c>
      <c r="K10">
        <v>571</v>
      </c>
      <c r="L10">
        <v>2068</v>
      </c>
      <c r="M10">
        <v>8906</v>
      </c>
    </row>
    <row r="11" spans="1:13" x14ac:dyDescent="0.3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</v>
      </c>
      <c r="I11">
        <v>26</v>
      </c>
      <c r="J11">
        <v>113</v>
      </c>
      <c r="K11">
        <v>598</v>
      </c>
      <c r="L11">
        <v>2168</v>
      </c>
      <c r="M11">
        <v>9324</v>
      </c>
    </row>
    <row r="12" spans="1:13" x14ac:dyDescent="0.3">
      <c r="A12" t="s">
        <v>17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5</v>
      </c>
      <c r="I12">
        <v>25</v>
      </c>
      <c r="J12">
        <v>107</v>
      </c>
      <c r="K12">
        <v>599</v>
      </c>
      <c r="L12">
        <v>2115</v>
      </c>
      <c r="M12">
        <v>8780</v>
      </c>
    </row>
    <row r="13" spans="1:13" s="2" customFormat="1" x14ac:dyDescent="0.3">
      <c r="A13" s="2" t="s">
        <v>18</v>
      </c>
      <c r="B13" s="2">
        <f>MEDIAN(B3:B12)</f>
        <v>0</v>
      </c>
      <c r="C13" s="2">
        <f t="shared" ref="C13:M13" si="1">MEDIAN(C3:C12)</f>
        <v>0</v>
      </c>
      <c r="D13" s="2">
        <f t="shared" si="1"/>
        <v>0</v>
      </c>
      <c r="E13" s="2">
        <f t="shared" si="1"/>
        <v>0</v>
      </c>
      <c r="F13" s="2">
        <f t="shared" si="1"/>
        <v>0</v>
      </c>
      <c r="G13" s="2">
        <f t="shared" si="1"/>
        <v>1</v>
      </c>
      <c r="H13" s="2">
        <f t="shared" si="1"/>
        <v>5.5</v>
      </c>
      <c r="I13" s="2">
        <f t="shared" si="1"/>
        <v>25</v>
      </c>
      <c r="J13" s="2">
        <f t="shared" si="1"/>
        <v>115</v>
      </c>
      <c r="K13" s="2">
        <f t="shared" si="1"/>
        <v>531</v>
      </c>
      <c r="L13" s="2">
        <f t="shared" si="1"/>
        <v>2121.5</v>
      </c>
      <c r="M13" s="2">
        <f t="shared" si="1"/>
        <v>8802.5</v>
      </c>
    </row>
    <row r="14" spans="1:13" x14ac:dyDescent="0.3">
      <c r="A14" t="s">
        <v>19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10</v>
      </c>
      <c r="I14">
        <v>39</v>
      </c>
      <c r="J14">
        <v>163</v>
      </c>
      <c r="K14">
        <v>635</v>
      </c>
      <c r="L14">
        <v>2512</v>
      </c>
      <c r="M14">
        <v>10250</v>
      </c>
    </row>
    <row r="15" spans="1:13" x14ac:dyDescent="0.3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8</v>
      </c>
      <c r="I15">
        <v>37</v>
      </c>
      <c r="J15">
        <v>130</v>
      </c>
      <c r="K15">
        <v>613</v>
      </c>
      <c r="L15">
        <v>2946</v>
      </c>
      <c r="M15">
        <v>10515</v>
      </c>
    </row>
    <row r="16" spans="1:13" x14ac:dyDescent="0.3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7</v>
      </c>
      <c r="I16">
        <v>32</v>
      </c>
      <c r="J16">
        <v>137</v>
      </c>
      <c r="K16">
        <v>630</v>
      </c>
      <c r="L16">
        <v>2458</v>
      </c>
      <c r="M16">
        <v>10220</v>
      </c>
    </row>
    <row r="17" spans="1:35" x14ac:dyDescent="0.3">
      <c r="A17" t="s">
        <v>19</v>
      </c>
      <c r="B17">
        <v>0</v>
      </c>
      <c r="C17">
        <v>0</v>
      </c>
      <c r="D17">
        <v>0</v>
      </c>
      <c r="E17">
        <v>1</v>
      </c>
      <c r="F17">
        <v>0</v>
      </c>
      <c r="G17">
        <v>2</v>
      </c>
      <c r="H17">
        <v>9</v>
      </c>
      <c r="I17">
        <v>33</v>
      </c>
      <c r="J17">
        <v>130</v>
      </c>
      <c r="K17">
        <v>637</v>
      </c>
      <c r="L17">
        <v>2767</v>
      </c>
      <c r="M17">
        <v>9969</v>
      </c>
      <c r="W17" t="s">
        <v>18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5.5</v>
      </c>
      <c r="AE17">
        <v>25</v>
      </c>
      <c r="AF17">
        <v>115</v>
      </c>
      <c r="AG17">
        <v>531</v>
      </c>
      <c r="AH17">
        <v>2121.5</v>
      </c>
      <c r="AI17">
        <v>8802.5</v>
      </c>
    </row>
    <row r="18" spans="1:35" x14ac:dyDescent="0.3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7</v>
      </c>
      <c r="I18">
        <v>31</v>
      </c>
      <c r="J18">
        <v>127</v>
      </c>
      <c r="K18">
        <v>621</v>
      </c>
      <c r="L18">
        <v>2305</v>
      </c>
      <c r="M18">
        <v>9974</v>
      </c>
      <c r="W18" t="s">
        <v>23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8</v>
      </c>
      <c r="AE18">
        <v>34.5</v>
      </c>
      <c r="AF18">
        <v>138.5</v>
      </c>
      <c r="AG18">
        <v>617</v>
      </c>
      <c r="AH18">
        <v>2686</v>
      </c>
      <c r="AI18">
        <v>10151</v>
      </c>
    </row>
    <row r="19" spans="1:35" x14ac:dyDescent="0.3">
      <c r="A19" t="s">
        <v>19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8</v>
      </c>
      <c r="I19">
        <v>36</v>
      </c>
      <c r="J19">
        <v>147</v>
      </c>
      <c r="K19">
        <v>568</v>
      </c>
      <c r="L19">
        <v>2405</v>
      </c>
      <c r="M19">
        <v>10207</v>
      </c>
      <c r="W19" t="s">
        <v>24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9</v>
      </c>
      <c r="AE19">
        <v>41.5</v>
      </c>
      <c r="AF19">
        <v>147.5</v>
      </c>
      <c r="AG19">
        <v>596</v>
      </c>
      <c r="AH19">
        <v>2684.5</v>
      </c>
      <c r="AI19">
        <v>10635.5</v>
      </c>
    </row>
    <row r="20" spans="1:35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8</v>
      </c>
      <c r="I20">
        <v>31</v>
      </c>
      <c r="J20">
        <v>140</v>
      </c>
      <c r="K20">
        <v>636</v>
      </c>
      <c r="L20">
        <v>3115</v>
      </c>
      <c r="M20">
        <v>10740</v>
      </c>
      <c r="W20" t="s">
        <v>21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11</v>
      </c>
      <c r="AE20">
        <v>46</v>
      </c>
      <c r="AF20">
        <v>178</v>
      </c>
      <c r="AG20">
        <v>764.5</v>
      </c>
      <c r="AH20">
        <v>3193</v>
      </c>
      <c r="AI20">
        <v>12913</v>
      </c>
    </row>
    <row r="21" spans="1:35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</v>
      </c>
      <c r="I21">
        <v>33</v>
      </c>
      <c r="J21">
        <v>129</v>
      </c>
      <c r="K21">
        <v>550</v>
      </c>
      <c r="L21">
        <v>2930</v>
      </c>
      <c r="M21">
        <v>10095</v>
      </c>
    </row>
    <row r="22" spans="1:35" x14ac:dyDescent="0.3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8</v>
      </c>
      <c r="I22">
        <v>45</v>
      </c>
      <c r="J22">
        <v>171</v>
      </c>
      <c r="K22">
        <v>568</v>
      </c>
      <c r="L22">
        <v>2605</v>
      </c>
      <c r="M22">
        <v>9832</v>
      </c>
    </row>
    <row r="23" spans="1:35" ht="15" customHeight="1" x14ac:dyDescent="0.3">
      <c r="A23" t="s">
        <v>19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7</v>
      </c>
      <c r="I23">
        <v>45</v>
      </c>
      <c r="J23">
        <v>150</v>
      </c>
      <c r="K23">
        <v>574</v>
      </c>
      <c r="L23">
        <v>2843</v>
      </c>
      <c r="M23">
        <v>9702</v>
      </c>
    </row>
    <row r="24" spans="1:35" s="2" customFormat="1" x14ac:dyDescent="0.3">
      <c r="A24" s="2" t="s">
        <v>23</v>
      </c>
      <c r="B24" s="2">
        <f>MEDIAN(B14:B23)</f>
        <v>0</v>
      </c>
      <c r="C24" s="2">
        <f t="shared" ref="C24:M24" si="2">MEDIAN(C14:C23)</f>
        <v>0</v>
      </c>
      <c r="D24" s="2">
        <f t="shared" si="2"/>
        <v>0</v>
      </c>
      <c r="E24" s="2">
        <f t="shared" si="2"/>
        <v>0</v>
      </c>
      <c r="F24" s="2">
        <f t="shared" si="2"/>
        <v>0</v>
      </c>
      <c r="G24" s="2">
        <f t="shared" si="2"/>
        <v>1</v>
      </c>
      <c r="H24" s="2">
        <f t="shared" si="2"/>
        <v>8</v>
      </c>
      <c r="I24" s="2">
        <f t="shared" si="2"/>
        <v>34.5</v>
      </c>
      <c r="J24" s="2">
        <f t="shared" si="2"/>
        <v>138.5</v>
      </c>
      <c r="K24" s="2">
        <f t="shared" si="2"/>
        <v>617</v>
      </c>
      <c r="L24" s="2">
        <f t="shared" si="2"/>
        <v>2686</v>
      </c>
      <c r="M24" s="2">
        <f t="shared" si="2"/>
        <v>10151</v>
      </c>
    </row>
    <row r="25" spans="1:35" x14ac:dyDescent="0.3">
      <c r="A25" t="s">
        <v>2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8</v>
      </c>
      <c r="I25">
        <v>44</v>
      </c>
      <c r="J25">
        <v>166</v>
      </c>
      <c r="K25">
        <v>614</v>
      </c>
      <c r="L25">
        <v>2591</v>
      </c>
      <c r="M25">
        <v>10466</v>
      </c>
    </row>
    <row r="26" spans="1:35" x14ac:dyDescent="0.3">
      <c r="A26" t="s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8</v>
      </c>
      <c r="I26">
        <v>43</v>
      </c>
      <c r="J26">
        <v>159</v>
      </c>
      <c r="K26">
        <v>557</v>
      </c>
      <c r="L26">
        <v>2763</v>
      </c>
      <c r="M26">
        <v>10976</v>
      </c>
    </row>
    <row r="27" spans="1:35" x14ac:dyDescent="0.3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9</v>
      </c>
      <c r="I27">
        <v>47</v>
      </c>
      <c r="J27">
        <v>148</v>
      </c>
      <c r="K27">
        <v>767</v>
      </c>
      <c r="L27">
        <v>2652</v>
      </c>
      <c r="M27">
        <v>10491</v>
      </c>
    </row>
    <row r="28" spans="1:35" x14ac:dyDescent="0.3">
      <c r="A28" t="s">
        <v>2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9</v>
      </c>
      <c r="I28">
        <v>40</v>
      </c>
      <c r="J28">
        <v>146</v>
      </c>
      <c r="K28">
        <v>566</v>
      </c>
      <c r="L28">
        <v>2812</v>
      </c>
      <c r="M28">
        <v>10628</v>
      </c>
    </row>
    <row r="29" spans="1:35" x14ac:dyDescent="0.3">
      <c r="A29" t="s">
        <v>2</v>
      </c>
      <c r="B29">
        <v>0</v>
      </c>
      <c r="C29">
        <v>0</v>
      </c>
      <c r="D29">
        <v>0</v>
      </c>
      <c r="E29">
        <v>0</v>
      </c>
      <c r="F29">
        <v>1</v>
      </c>
      <c r="G29">
        <v>2</v>
      </c>
      <c r="H29">
        <v>8</v>
      </c>
      <c r="I29">
        <v>38</v>
      </c>
      <c r="J29">
        <v>127</v>
      </c>
      <c r="K29">
        <v>568</v>
      </c>
      <c r="L29">
        <v>2662</v>
      </c>
      <c r="M29">
        <v>10851</v>
      </c>
    </row>
    <row r="30" spans="1:35" x14ac:dyDescent="0.3">
      <c r="A30" t="s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9</v>
      </c>
      <c r="I30">
        <v>42</v>
      </c>
      <c r="J30">
        <v>133</v>
      </c>
      <c r="K30">
        <v>578</v>
      </c>
      <c r="L30">
        <v>2597</v>
      </c>
      <c r="M30">
        <v>10674</v>
      </c>
    </row>
    <row r="31" spans="1:35" x14ac:dyDescent="0.3">
      <c r="A31" t="s">
        <v>2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10</v>
      </c>
      <c r="I31">
        <v>41</v>
      </c>
      <c r="J31">
        <v>147</v>
      </c>
      <c r="K31">
        <v>656</v>
      </c>
      <c r="L31">
        <v>2712</v>
      </c>
      <c r="M31">
        <v>10286</v>
      </c>
    </row>
    <row r="32" spans="1:35" x14ac:dyDescent="0.3">
      <c r="A32" t="s">
        <v>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11</v>
      </c>
      <c r="I32">
        <v>38</v>
      </c>
      <c r="J32">
        <v>156</v>
      </c>
      <c r="K32">
        <v>614</v>
      </c>
      <c r="L32">
        <v>2468</v>
      </c>
      <c r="M32">
        <v>10948</v>
      </c>
    </row>
    <row r="33" spans="1:13" x14ac:dyDescent="0.3">
      <c r="A33" t="s">
        <v>2</v>
      </c>
      <c r="B33">
        <v>0</v>
      </c>
      <c r="C33">
        <v>0</v>
      </c>
      <c r="D33">
        <v>0</v>
      </c>
      <c r="E33">
        <v>0</v>
      </c>
      <c r="F33">
        <v>1</v>
      </c>
      <c r="G33">
        <v>2</v>
      </c>
      <c r="H33">
        <v>9</v>
      </c>
      <c r="I33">
        <v>63</v>
      </c>
      <c r="J33">
        <v>145</v>
      </c>
      <c r="K33">
        <v>542</v>
      </c>
      <c r="L33">
        <v>2707</v>
      </c>
      <c r="M33">
        <v>10643</v>
      </c>
    </row>
    <row r="34" spans="1:13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12</v>
      </c>
      <c r="I34">
        <v>37</v>
      </c>
      <c r="J34">
        <v>153</v>
      </c>
      <c r="K34">
        <v>624</v>
      </c>
      <c r="L34">
        <v>2738</v>
      </c>
      <c r="M34">
        <v>10335</v>
      </c>
    </row>
    <row r="35" spans="1:13" s="2" customFormat="1" x14ac:dyDescent="0.3">
      <c r="A35" s="2" t="s">
        <v>24</v>
      </c>
      <c r="B35" s="2">
        <f>MEDIAN(B25:B34)</f>
        <v>0</v>
      </c>
      <c r="C35" s="2">
        <f t="shared" ref="C35:M35" si="3">MEDIAN(C25:C34)</f>
        <v>0</v>
      </c>
      <c r="D35" s="2">
        <f t="shared" si="3"/>
        <v>0</v>
      </c>
      <c r="E35" s="2">
        <f t="shared" si="3"/>
        <v>0</v>
      </c>
      <c r="F35" s="2">
        <f t="shared" si="3"/>
        <v>0</v>
      </c>
      <c r="G35" s="2">
        <f t="shared" si="3"/>
        <v>1</v>
      </c>
      <c r="H35" s="2">
        <f t="shared" si="3"/>
        <v>9</v>
      </c>
      <c r="I35" s="2">
        <f t="shared" si="3"/>
        <v>41.5</v>
      </c>
      <c r="J35" s="2">
        <f t="shared" si="3"/>
        <v>147.5</v>
      </c>
      <c r="K35" s="2">
        <f t="shared" si="3"/>
        <v>596</v>
      </c>
      <c r="L35" s="2">
        <f t="shared" si="3"/>
        <v>2684.5</v>
      </c>
      <c r="M35" s="2">
        <f t="shared" si="3"/>
        <v>10635.5</v>
      </c>
    </row>
    <row r="36" spans="1:13" x14ac:dyDescent="0.3">
      <c r="A36" t="s">
        <v>20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13</v>
      </c>
      <c r="I36">
        <v>51</v>
      </c>
      <c r="J36">
        <v>188</v>
      </c>
      <c r="K36">
        <v>838</v>
      </c>
      <c r="L36">
        <v>3165</v>
      </c>
      <c r="M36">
        <v>12930</v>
      </c>
    </row>
    <row r="37" spans="1:13" x14ac:dyDescent="0.3">
      <c r="A37" t="s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12</v>
      </c>
      <c r="I37">
        <v>48</v>
      </c>
      <c r="J37">
        <v>189</v>
      </c>
      <c r="K37">
        <v>787</v>
      </c>
      <c r="L37">
        <v>3240</v>
      </c>
      <c r="M37">
        <v>12896</v>
      </c>
    </row>
    <row r="38" spans="1:13" x14ac:dyDescent="0.3">
      <c r="A38" t="s">
        <v>20</v>
      </c>
      <c r="B38">
        <v>0</v>
      </c>
      <c r="C38">
        <v>1</v>
      </c>
      <c r="D38">
        <v>0</v>
      </c>
      <c r="E38">
        <v>0</v>
      </c>
      <c r="F38">
        <v>1</v>
      </c>
      <c r="G38">
        <v>2</v>
      </c>
      <c r="H38">
        <v>10</v>
      </c>
      <c r="I38">
        <v>46</v>
      </c>
      <c r="J38">
        <v>188</v>
      </c>
      <c r="K38">
        <v>672</v>
      </c>
      <c r="L38">
        <v>3144</v>
      </c>
      <c r="M38">
        <v>12767</v>
      </c>
    </row>
    <row r="39" spans="1:13" x14ac:dyDescent="0.3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12</v>
      </c>
      <c r="I39">
        <v>47</v>
      </c>
      <c r="J39">
        <v>170</v>
      </c>
      <c r="K39">
        <v>831</v>
      </c>
      <c r="L39">
        <v>3303</v>
      </c>
      <c r="M39">
        <v>12728</v>
      </c>
    </row>
    <row r="40" spans="1:13" x14ac:dyDescent="0.3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15</v>
      </c>
      <c r="I40">
        <v>46</v>
      </c>
      <c r="J40">
        <v>176</v>
      </c>
      <c r="K40">
        <v>715</v>
      </c>
      <c r="L40">
        <v>3323</v>
      </c>
      <c r="M40">
        <v>13971</v>
      </c>
    </row>
    <row r="41" spans="1:13" x14ac:dyDescent="0.3">
      <c r="A41" t="s">
        <v>20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11</v>
      </c>
      <c r="I41">
        <v>46</v>
      </c>
      <c r="J41">
        <v>174</v>
      </c>
      <c r="K41">
        <v>786</v>
      </c>
      <c r="L41">
        <v>3016</v>
      </c>
      <c r="M41">
        <v>12869</v>
      </c>
    </row>
    <row r="42" spans="1:13" x14ac:dyDescent="0.3">
      <c r="A42" t="s">
        <v>20</v>
      </c>
      <c r="B42">
        <v>0</v>
      </c>
      <c r="C42">
        <v>0</v>
      </c>
      <c r="D42">
        <v>0</v>
      </c>
      <c r="E42">
        <v>0</v>
      </c>
      <c r="F42">
        <v>1</v>
      </c>
      <c r="G42">
        <v>2</v>
      </c>
      <c r="H42">
        <v>10</v>
      </c>
      <c r="I42">
        <v>45</v>
      </c>
      <c r="J42">
        <v>169</v>
      </c>
      <c r="K42">
        <v>712</v>
      </c>
      <c r="L42">
        <v>3423</v>
      </c>
      <c r="M42">
        <v>13112</v>
      </c>
    </row>
    <row r="43" spans="1:13" x14ac:dyDescent="0.3">
      <c r="A43" t="s">
        <v>20</v>
      </c>
      <c r="B43">
        <v>0</v>
      </c>
      <c r="C43">
        <v>0</v>
      </c>
      <c r="D43">
        <v>0</v>
      </c>
      <c r="E43">
        <v>0</v>
      </c>
      <c r="F43">
        <v>1</v>
      </c>
      <c r="G43">
        <v>2</v>
      </c>
      <c r="H43">
        <v>11</v>
      </c>
      <c r="I43">
        <v>52</v>
      </c>
      <c r="J43">
        <v>180</v>
      </c>
      <c r="K43">
        <v>774</v>
      </c>
      <c r="L43">
        <v>3183</v>
      </c>
      <c r="M43">
        <v>12877</v>
      </c>
    </row>
    <row r="44" spans="1:13" x14ac:dyDescent="0.3">
      <c r="A44" t="s">
        <v>20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11</v>
      </c>
      <c r="I44">
        <v>46</v>
      </c>
      <c r="J44">
        <v>181</v>
      </c>
      <c r="K44">
        <v>698</v>
      </c>
      <c r="L44">
        <v>3132</v>
      </c>
      <c r="M44">
        <v>12946</v>
      </c>
    </row>
    <row r="45" spans="1:13" x14ac:dyDescent="0.3">
      <c r="A45" t="s">
        <v>20</v>
      </c>
      <c r="B45">
        <v>0</v>
      </c>
      <c r="C45">
        <v>0</v>
      </c>
      <c r="D45">
        <v>0</v>
      </c>
      <c r="E45">
        <v>0</v>
      </c>
      <c r="F45">
        <v>1</v>
      </c>
      <c r="G45">
        <v>2</v>
      </c>
      <c r="H45">
        <v>11</v>
      </c>
      <c r="I45">
        <v>43</v>
      </c>
      <c r="J45">
        <v>169</v>
      </c>
      <c r="K45">
        <v>755</v>
      </c>
      <c r="L45">
        <v>3203</v>
      </c>
      <c r="M45">
        <v>13194</v>
      </c>
    </row>
    <row r="46" spans="1:13" s="2" customFormat="1" x14ac:dyDescent="0.3">
      <c r="A46" s="2" t="s">
        <v>21</v>
      </c>
      <c r="B46" s="2">
        <f>MEDIAN(B36:B45)</f>
        <v>0</v>
      </c>
      <c r="C46" s="2">
        <f t="shared" ref="C46:M46" si="4">MEDIAN(C36:C45)</f>
        <v>0</v>
      </c>
      <c r="D46" s="2">
        <f t="shared" si="4"/>
        <v>0</v>
      </c>
      <c r="E46" s="2">
        <f t="shared" si="4"/>
        <v>0</v>
      </c>
      <c r="F46" s="2">
        <f t="shared" si="4"/>
        <v>0</v>
      </c>
      <c r="G46" s="2">
        <f t="shared" si="4"/>
        <v>2</v>
      </c>
      <c r="H46" s="2">
        <f t="shared" si="4"/>
        <v>11</v>
      </c>
      <c r="I46" s="2">
        <f t="shared" si="4"/>
        <v>46</v>
      </c>
      <c r="J46" s="2">
        <f t="shared" si="4"/>
        <v>178</v>
      </c>
      <c r="K46" s="2">
        <f t="shared" si="4"/>
        <v>764.5</v>
      </c>
      <c r="L46" s="2">
        <f t="shared" si="4"/>
        <v>3193</v>
      </c>
      <c r="M46" s="2">
        <f t="shared" si="4"/>
        <v>12913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B1CB-671F-4EBA-BC18-B69AEE1C22AA}">
  <dimension ref="A1:AA46"/>
  <sheetViews>
    <sheetView zoomScale="55" zoomScaleNormal="55" workbookViewId="0">
      <selection activeCell="S19" sqref="S19:AA22"/>
    </sheetView>
  </sheetViews>
  <sheetFormatPr defaultRowHeight="14.4" x14ac:dyDescent="0.3"/>
  <cols>
    <col min="1" max="1" width="20.109375" bestFit="1" customWidth="1"/>
  </cols>
  <sheetData>
    <row r="1" spans="1:9" x14ac:dyDescent="0.3">
      <c r="A1" t="s">
        <v>16</v>
      </c>
    </row>
    <row r="2" spans="1:9" s="3" customFormat="1" x14ac:dyDescent="0.3">
      <c r="B2" s="3">
        <v>16</v>
      </c>
      <c r="C2" s="3">
        <v>32</v>
      </c>
      <c r="D2" s="3">
        <f>2*C2</f>
        <v>64</v>
      </c>
      <c r="E2" s="3">
        <f t="shared" ref="E2:I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</row>
    <row r="3" spans="1:9" x14ac:dyDescent="0.3">
      <c r="A3" t="s">
        <v>17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4</v>
      </c>
      <c r="I3">
        <v>21</v>
      </c>
    </row>
    <row r="4" spans="1:9" x14ac:dyDescent="0.3">
      <c r="A4" t="s">
        <v>17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4</v>
      </c>
      <c r="I4">
        <v>19</v>
      </c>
    </row>
    <row r="5" spans="1:9" x14ac:dyDescent="0.3">
      <c r="A5" t="s">
        <v>17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4</v>
      </c>
      <c r="I5">
        <v>25</v>
      </c>
    </row>
    <row r="6" spans="1:9" x14ac:dyDescent="0.3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22</v>
      </c>
    </row>
    <row r="7" spans="1:9" x14ac:dyDescent="0.3">
      <c r="A7" t="s">
        <v>17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6</v>
      </c>
      <c r="I7">
        <v>26</v>
      </c>
    </row>
    <row r="8" spans="1:9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4</v>
      </c>
      <c r="I8">
        <v>20</v>
      </c>
    </row>
    <row r="9" spans="1:9" x14ac:dyDescent="0.3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24</v>
      </c>
    </row>
    <row r="10" spans="1:9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4</v>
      </c>
      <c r="I10">
        <v>23</v>
      </c>
    </row>
    <row r="11" spans="1:9" x14ac:dyDescent="0.3">
      <c r="A11" t="s">
        <v>17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5</v>
      </c>
      <c r="I11">
        <v>23</v>
      </c>
    </row>
    <row r="12" spans="1:9" x14ac:dyDescent="0.3">
      <c r="A12" t="s">
        <v>17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4</v>
      </c>
      <c r="I12">
        <v>22</v>
      </c>
    </row>
    <row r="13" spans="1:9" s="2" customFormat="1" x14ac:dyDescent="0.3">
      <c r="A13" s="2" t="s">
        <v>18</v>
      </c>
      <c r="B13" s="2">
        <f>MEDIAN(B3:B12)</f>
        <v>0</v>
      </c>
      <c r="C13" s="2">
        <f t="shared" ref="C13:I13" si="1">MEDIAN(C3:C12)</f>
        <v>0</v>
      </c>
      <c r="D13" s="2">
        <f t="shared" si="1"/>
        <v>0</v>
      </c>
      <c r="E13" s="2">
        <f t="shared" si="1"/>
        <v>0</v>
      </c>
      <c r="F13" s="2">
        <f t="shared" si="1"/>
        <v>0.5</v>
      </c>
      <c r="G13" s="2">
        <f t="shared" si="1"/>
        <v>1</v>
      </c>
      <c r="H13" s="2">
        <f t="shared" si="1"/>
        <v>4</v>
      </c>
      <c r="I13" s="2">
        <f t="shared" si="1"/>
        <v>22.5</v>
      </c>
    </row>
    <row r="14" spans="1:9" x14ac:dyDescent="0.3">
      <c r="A14" t="s">
        <v>19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4</v>
      </c>
      <c r="I14">
        <v>21</v>
      </c>
    </row>
    <row r="15" spans="1:9" x14ac:dyDescent="0.3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19</v>
      </c>
    </row>
    <row r="16" spans="1:9" x14ac:dyDescent="0.3">
      <c r="A16" t="s">
        <v>19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4</v>
      </c>
      <c r="I16">
        <v>25</v>
      </c>
    </row>
    <row r="17" spans="1:27" x14ac:dyDescent="0.3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4</v>
      </c>
      <c r="I17">
        <v>22</v>
      </c>
    </row>
    <row r="18" spans="1:27" x14ac:dyDescent="0.3">
      <c r="A18" t="s">
        <v>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6</v>
      </c>
      <c r="I18">
        <v>26</v>
      </c>
    </row>
    <row r="19" spans="1:27" x14ac:dyDescent="0.3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4</v>
      </c>
      <c r="I19">
        <v>20</v>
      </c>
      <c r="S19" t="s">
        <v>18</v>
      </c>
      <c r="T19">
        <v>0</v>
      </c>
      <c r="U19">
        <v>0</v>
      </c>
      <c r="V19">
        <v>0</v>
      </c>
      <c r="W19">
        <v>0</v>
      </c>
      <c r="X19">
        <v>0.5</v>
      </c>
      <c r="Y19">
        <v>1</v>
      </c>
      <c r="Z19">
        <v>4</v>
      </c>
      <c r="AA19">
        <v>22.5</v>
      </c>
    </row>
    <row r="20" spans="1:27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24</v>
      </c>
      <c r="S20" t="s">
        <v>23</v>
      </c>
      <c r="T20">
        <v>0</v>
      </c>
      <c r="U20">
        <v>0</v>
      </c>
      <c r="V20">
        <v>0</v>
      </c>
      <c r="W20">
        <v>0</v>
      </c>
      <c r="X20">
        <v>0.5</v>
      </c>
      <c r="Y20">
        <v>1</v>
      </c>
      <c r="Z20">
        <v>4</v>
      </c>
      <c r="AA20">
        <v>22.5</v>
      </c>
    </row>
    <row r="21" spans="1:27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4</v>
      </c>
      <c r="I21">
        <v>23</v>
      </c>
      <c r="S21" t="s">
        <v>24</v>
      </c>
      <c r="T21">
        <v>0</v>
      </c>
      <c r="U21">
        <v>0</v>
      </c>
      <c r="V21">
        <v>1</v>
      </c>
      <c r="W21">
        <v>6</v>
      </c>
      <c r="X21">
        <v>24.5</v>
      </c>
      <c r="Y21">
        <v>111</v>
      </c>
      <c r="Z21">
        <v>468.5</v>
      </c>
      <c r="AA21">
        <v>4513</v>
      </c>
    </row>
    <row r="22" spans="1:27" x14ac:dyDescent="0.3">
      <c r="A22" t="s">
        <v>19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5</v>
      </c>
      <c r="I22">
        <v>23</v>
      </c>
      <c r="S22" t="s">
        <v>21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</v>
      </c>
      <c r="AA22">
        <v>22</v>
      </c>
    </row>
    <row r="23" spans="1:27" ht="15" customHeight="1" x14ac:dyDescent="0.3">
      <c r="A23" t="s">
        <v>19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4</v>
      </c>
      <c r="I23">
        <v>22</v>
      </c>
    </row>
    <row r="24" spans="1:27" s="2" customFormat="1" x14ac:dyDescent="0.3">
      <c r="A24" s="2" t="s">
        <v>23</v>
      </c>
      <c r="B24" s="2">
        <f>MEDIAN(B14:B23)</f>
        <v>0</v>
      </c>
      <c r="C24" s="2">
        <f t="shared" ref="C24:I24" si="2">MEDIAN(C14:C23)</f>
        <v>0</v>
      </c>
      <c r="D24" s="2">
        <f t="shared" si="2"/>
        <v>0</v>
      </c>
      <c r="E24" s="2">
        <f t="shared" si="2"/>
        <v>0</v>
      </c>
      <c r="F24" s="2">
        <f t="shared" si="2"/>
        <v>0.5</v>
      </c>
      <c r="G24" s="2">
        <f t="shared" si="2"/>
        <v>1</v>
      </c>
      <c r="H24" s="2">
        <f t="shared" si="2"/>
        <v>4</v>
      </c>
      <c r="I24" s="2">
        <f t="shared" si="2"/>
        <v>22.5</v>
      </c>
    </row>
    <row r="25" spans="1:27" x14ac:dyDescent="0.3">
      <c r="A25" t="s">
        <v>2</v>
      </c>
      <c r="B25">
        <v>0</v>
      </c>
      <c r="C25">
        <v>1</v>
      </c>
      <c r="D25">
        <v>1</v>
      </c>
      <c r="E25">
        <v>6</v>
      </c>
      <c r="F25">
        <v>24</v>
      </c>
      <c r="G25">
        <v>97</v>
      </c>
      <c r="H25">
        <v>519</v>
      </c>
      <c r="I25">
        <v>4449</v>
      </c>
    </row>
    <row r="26" spans="1:27" x14ac:dyDescent="0.3">
      <c r="A26" t="s">
        <v>2</v>
      </c>
      <c r="B26">
        <v>0</v>
      </c>
      <c r="C26">
        <v>0</v>
      </c>
      <c r="D26">
        <v>1</v>
      </c>
      <c r="E26">
        <v>7</v>
      </c>
      <c r="F26">
        <v>24</v>
      </c>
      <c r="G26">
        <v>99</v>
      </c>
      <c r="H26">
        <v>474</v>
      </c>
      <c r="I26">
        <v>4717</v>
      </c>
    </row>
    <row r="27" spans="1:27" x14ac:dyDescent="0.3">
      <c r="A27" t="s">
        <v>2</v>
      </c>
      <c r="B27">
        <v>0</v>
      </c>
      <c r="C27">
        <v>1</v>
      </c>
      <c r="D27">
        <v>0</v>
      </c>
      <c r="E27">
        <v>6</v>
      </c>
      <c r="F27">
        <v>26</v>
      </c>
      <c r="G27">
        <v>109</v>
      </c>
      <c r="H27">
        <v>480</v>
      </c>
      <c r="I27">
        <v>4585</v>
      </c>
    </row>
    <row r="28" spans="1:27" x14ac:dyDescent="0.3">
      <c r="A28" t="s">
        <v>2</v>
      </c>
      <c r="B28">
        <v>0</v>
      </c>
      <c r="C28">
        <v>0</v>
      </c>
      <c r="D28">
        <v>1</v>
      </c>
      <c r="E28">
        <v>6</v>
      </c>
      <c r="F28">
        <v>25</v>
      </c>
      <c r="G28">
        <v>113</v>
      </c>
      <c r="H28">
        <v>505</v>
      </c>
      <c r="I28">
        <v>4401</v>
      </c>
    </row>
    <row r="29" spans="1:27" x14ac:dyDescent="0.3">
      <c r="A29" t="s">
        <v>2</v>
      </c>
      <c r="B29">
        <v>0</v>
      </c>
      <c r="C29">
        <v>0</v>
      </c>
      <c r="D29">
        <v>1</v>
      </c>
      <c r="E29">
        <v>5</v>
      </c>
      <c r="F29">
        <v>26</v>
      </c>
      <c r="G29">
        <v>110</v>
      </c>
      <c r="H29">
        <v>452</v>
      </c>
      <c r="I29">
        <v>4851</v>
      </c>
    </row>
    <row r="30" spans="1:27" x14ac:dyDescent="0.3">
      <c r="A30" t="s">
        <v>2</v>
      </c>
      <c r="B30">
        <v>0</v>
      </c>
      <c r="C30">
        <v>0</v>
      </c>
      <c r="D30">
        <v>1</v>
      </c>
      <c r="E30">
        <v>6</v>
      </c>
      <c r="F30">
        <v>24</v>
      </c>
      <c r="G30">
        <v>111</v>
      </c>
      <c r="H30">
        <v>446</v>
      </c>
      <c r="I30">
        <v>4572</v>
      </c>
    </row>
    <row r="31" spans="1:27" x14ac:dyDescent="0.3">
      <c r="A31" t="s">
        <v>2</v>
      </c>
      <c r="B31">
        <v>0</v>
      </c>
      <c r="C31">
        <v>0</v>
      </c>
      <c r="D31">
        <v>1</v>
      </c>
      <c r="E31">
        <v>6</v>
      </c>
      <c r="F31">
        <v>24</v>
      </c>
      <c r="G31">
        <v>114</v>
      </c>
      <c r="H31">
        <v>463</v>
      </c>
      <c r="I31">
        <v>4445</v>
      </c>
    </row>
    <row r="32" spans="1:27" x14ac:dyDescent="0.3">
      <c r="A32" t="s">
        <v>2</v>
      </c>
      <c r="B32">
        <v>0</v>
      </c>
      <c r="C32">
        <v>0</v>
      </c>
      <c r="D32">
        <v>1</v>
      </c>
      <c r="E32">
        <v>7</v>
      </c>
      <c r="F32">
        <v>24</v>
      </c>
      <c r="G32">
        <v>111</v>
      </c>
      <c r="H32">
        <v>442</v>
      </c>
      <c r="I32">
        <v>4499</v>
      </c>
    </row>
    <row r="33" spans="1:9" x14ac:dyDescent="0.3">
      <c r="A33" t="s">
        <v>2</v>
      </c>
      <c r="B33">
        <v>0</v>
      </c>
      <c r="C33">
        <v>0</v>
      </c>
      <c r="D33">
        <v>2</v>
      </c>
      <c r="E33">
        <v>7</v>
      </c>
      <c r="F33">
        <v>25</v>
      </c>
      <c r="G33">
        <v>112</v>
      </c>
      <c r="H33">
        <v>444</v>
      </c>
      <c r="I33">
        <v>4527</v>
      </c>
    </row>
    <row r="34" spans="1:9" x14ac:dyDescent="0.3">
      <c r="A34" t="s">
        <v>2</v>
      </c>
      <c r="B34">
        <v>0</v>
      </c>
      <c r="C34">
        <v>0</v>
      </c>
      <c r="D34">
        <v>1</v>
      </c>
      <c r="E34">
        <v>6</v>
      </c>
      <c r="F34">
        <v>25</v>
      </c>
      <c r="G34">
        <v>137</v>
      </c>
      <c r="H34">
        <v>636</v>
      </c>
      <c r="I34">
        <v>4325</v>
      </c>
    </row>
    <row r="35" spans="1:9" s="2" customFormat="1" x14ac:dyDescent="0.3">
      <c r="A35" s="2" t="s">
        <v>24</v>
      </c>
      <c r="B35" s="2">
        <f>MEDIAN(B25:B34)</f>
        <v>0</v>
      </c>
      <c r="C35" s="2">
        <f t="shared" ref="C35:I35" si="3">MEDIAN(C25:C34)</f>
        <v>0</v>
      </c>
      <c r="D35" s="2">
        <f t="shared" si="3"/>
        <v>1</v>
      </c>
      <c r="E35" s="2">
        <f t="shared" si="3"/>
        <v>6</v>
      </c>
      <c r="F35" s="2">
        <f t="shared" si="3"/>
        <v>24.5</v>
      </c>
      <c r="G35" s="2">
        <f t="shared" si="3"/>
        <v>111</v>
      </c>
      <c r="H35" s="2">
        <f t="shared" si="3"/>
        <v>468.5</v>
      </c>
      <c r="I35" s="2">
        <f t="shared" si="3"/>
        <v>4513</v>
      </c>
    </row>
    <row r="36" spans="1:9" x14ac:dyDescent="0.3">
      <c r="A36" t="s">
        <v>20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20</v>
      </c>
    </row>
    <row r="37" spans="1:9" x14ac:dyDescent="0.3">
      <c r="A37" t="s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</v>
      </c>
      <c r="I37">
        <v>24</v>
      </c>
    </row>
    <row r="38" spans="1:9" x14ac:dyDescent="0.3">
      <c r="A38" t="s">
        <v>20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4</v>
      </c>
      <c r="I38">
        <v>21</v>
      </c>
    </row>
    <row r="39" spans="1:9" x14ac:dyDescent="0.3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4</v>
      </c>
      <c r="I39">
        <v>24</v>
      </c>
    </row>
    <row r="40" spans="1:9" x14ac:dyDescent="0.3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</v>
      </c>
      <c r="I40">
        <v>22</v>
      </c>
    </row>
    <row r="41" spans="1:9" x14ac:dyDescent="0.3">
      <c r="A41" t="s">
        <v>20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22</v>
      </c>
    </row>
    <row r="42" spans="1:9" x14ac:dyDescent="0.3">
      <c r="A42" t="s">
        <v>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22</v>
      </c>
    </row>
    <row r="43" spans="1:9" x14ac:dyDescent="0.3">
      <c r="A43" t="s">
        <v>20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5</v>
      </c>
      <c r="I43">
        <v>22</v>
      </c>
    </row>
    <row r="44" spans="1:9" x14ac:dyDescent="0.3">
      <c r="A44" t="s">
        <v>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20</v>
      </c>
    </row>
    <row r="45" spans="1:9" x14ac:dyDescent="0.3">
      <c r="A45" t="s">
        <v>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21</v>
      </c>
    </row>
    <row r="46" spans="1:9" s="2" customFormat="1" x14ac:dyDescent="0.3">
      <c r="A46" s="2" t="s">
        <v>21</v>
      </c>
      <c r="B46" s="2">
        <f>MEDIAN(B36:B45)</f>
        <v>0</v>
      </c>
      <c r="C46" s="2">
        <f t="shared" ref="C46:I46" si="4">MEDIAN(C36:C45)</f>
        <v>0</v>
      </c>
      <c r="D46" s="2">
        <f t="shared" si="4"/>
        <v>0</v>
      </c>
      <c r="E46" s="2">
        <f t="shared" si="4"/>
        <v>0</v>
      </c>
      <c r="F46" s="2">
        <f t="shared" si="4"/>
        <v>0</v>
      </c>
      <c r="G46" s="2">
        <f t="shared" si="4"/>
        <v>0</v>
      </c>
      <c r="H46" s="2">
        <f t="shared" si="4"/>
        <v>4</v>
      </c>
      <c r="I46" s="2">
        <f t="shared" si="4"/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1034-7035-4168-B868-4F67672E0E0F}">
  <dimension ref="A1:M13"/>
  <sheetViews>
    <sheetView workbookViewId="0">
      <selection activeCell="M10" sqref="M10"/>
    </sheetView>
  </sheetViews>
  <sheetFormatPr defaultRowHeight="14.4" x14ac:dyDescent="0.3"/>
  <cols>
    <col min="1" max="1" width="20.77734375" bestFit="1" customWidth="1"/>
  </cols>
  <sheetData>
    <row r="1" spans="1:13" x14ac:dyDescent="0.3">
      <c r="A1" t="s">
        <v>25</v>
      </c>
    </row>
    <row r="2" spans="1:13" x14ac:dyDescent="0.3">
      <c r="A2" s="3"/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>
        <f>2*L2</f>
        <v>32768</v>
      </c>
    </row>
    <row r="3" spans="1:13" x14ac:dyDescent="0.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5.5</v>
      </c>
      <c r="I3">
        <v>25</v>
      </c>
      <c r="J3">
        <v>115</v>
      </c>
      <c r="K3">
        <v>531</v>
      </c>
      <c r="L3">
        <v>2121.5</v>
      </c>
      <c r="M3">
        <v>8802.5</v>
      </c>
    </row>
    <row r="4" spans="1:13" x14ac:dyDescent="0.3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8</v>
      </c>
      <c r="I4">
        <v>34.5</v>
      </c>
      <c r="J4">
        <v>138.5</v>
      </c>
      <c r="K4">
        <v>617</v>
      </c>
      <c r="L4">
        <v>2686</v>
      </c>
      <c r="M4">
        <v>10151</v>
      </c>
    </row>
    <row r="5" spans="1:13" x14ac:dyDescent="0.3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9</v>
      </c>
      <c r="I5">
        <v>41.5</v>
      </c>
      <c r="J5">
        <v>147.5</v>
      </c>
      <c r="K5">
        <v>596</v>
      </c>
      <c r="L5">
        <v>2684.5</v>
      </c>
      <c r="M5">
        <v>10635.5</v>
      </c>
    </row>
    <row r="6" spans="1:13" x14ac:dyDescent="0.3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11</v>
      </c>
      <c r="I6">
        <v>46</v>
      </c>
      <c r="J6">
        <v>178</v>
      </c>
      <c r="K6">
        <v>764.5</v>
      </c>
      <c r="L6">
        <v>3193</v>
      </c>
      <c r="M6">
        <v>12913</v>
      </c>
    </row>
    <row r="8" spans="1:13" x14ac:dyDescent="0.3">
      <c r="A8" t="s">
        <v>26</v>
      </c>
    </row>
    <row r="9" spans="1:13" x14ac:dyDescent="0.3">
      <c r="A9" s="3"/>
      <c r="B9" s="3">
        <v>16</v>
      </c>
      <c r="C9" s="3">
        <v>32</v>
      </c>
      <c r="D9" s="3">
        <f>2*C9</f>
        <v>64</v>
      </c>
      <c r="E9" s="3">
        <f t="shared" ref="E9:I9" si="1">2*D9</f>
        <v>128</v>
      </c>
      <c r="F9" s="3">
        <f t="shared" si="1"/>
        <v>256</v>
      </c>
      <c r="G9" s="3">
        <f t="shared" si="1"/>
        <v>512</v>
      </c>
      <c r="H9" s="3">
        <f t="shared" si="1"/>
        <v>1024</v>
      </c>
      <c r="I9" s="3">
        <f t="shared" si="1"/>
        <v>2048</v>
      </c>
    </row>
    <row r="10" spans="1:13" x14ac:dyDescent="0.3">
      <c r="A10" t="s">
        <v>18</v>
      </c>
      <c r="B10">
        <v>0</v>
      </c>
      <c r="C10">
        <v>0</v>
      </c>
      <c r="D10">
        <v>0</v>
      </c>
      <c r="E10">
        <v>0</v>
      </c>
      <c r="F10">
        <v>0.5</v>
      </c>
      <c r="G10">
        <v>1</v>
      </c>
      <c r="H10">
        <v>4</v>
      </c>
      <c r="I10">
        <v>22.5</v>
      </c>
    </row>
    <row r="11" spans="1:13" x14ac:dyDescent="0.3">
      <c r="A11" t="s">
        <v>23</v>
      </c>
      <c r="B11">
        <v>0</v>
      </c>
      <c r="C11">
        <v>0</v>
      </c>
      <c r="D11">
        <v>0</v>
      </c>
      <c r="E11">
        <v>0</v>
      </c>
      <c r="F11">
        <v>0.5</v>
      </c>
      <c r="G11">
        <v>1</v>
      </c>
      <c r="H11">
        <v>4</v>
      </c>
      <c r="I11">
        <v>22.5</v>
      </c>
    </row>
    <row r="12" spans="1:13" x14ac:dyDescent="0.3">
      <c r="A12" t="s">
        <v>24</v>
      </c>
      <c r="B12">
        <v>0</v>
      </c>
      <c r="C12">
        <v>0</v>
      </c>
      <c r="D12">
        <v>1</v>
      </c>
      <c r="E12">
        <v>6</v>
      </c>
      <c r="F12">
        <v>24.5</v>
      </c>
      <c r="G12">
        <v>111</v>
      </c>
      <c r="H12">
        <v>468.5</v>
      </c>
      <c r="I12">
        <v>4513</v>
      </c>
    </row>
    <row r="13" spans="1:13" x14ac:dyDescent="0.3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DF48-A342-4663-AFE4-318C9CF44666}">
  <dimension ref="A1:O35"/>
  <sheetViews>
    <sheetView zoomScale="55" zoomScaleNormal="55" workbookViewId="0">
      <selection activeCell="K36" sqref="K36"/>
    </sheetView>
  </sheetViews>
  <sheetFormatPr defaultRowHeight="14.4" x14ac:dyDescent="0.3"/>
  <cols>
    <col min="1" max="1" width="33.33203125" bestFit="1" customWidth="1"/>
  </cols>
  <sheetData>
    <row r="1" spans="1:15" x14ac:dyDescent="0.3">
      <c r="A1" t="s">
        <v>27</v>
      </c>
    </row>
    <row r="2" spans="1:15" x14ac:dyDescent="0.3"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>
        <f>2*L2</f>
        <v>32768</v>
      </c>
      <c r="N2" s="3">
        <f>2*M2</f>
        <v>65536</v>
      </c>
      <c r="O2" s="3">
        <f>2*N2</f>
        <v>131072</v>
      </c>
    </row>
    <row r="3" spans="1:15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</row>
    <row r="4" spans="1:15" x14ac:dyDescent="0.3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</row>
    <row r="5" spans="1:15" x14ac:dyDescent="0.3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</row>
    <row r="6" spans="1:15" x14ac:dyDescent="0.3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3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</row>
    <row r="8" spans="1:15" x14ac:dyDescent="0.3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</row>
    <row r="9" spans="1:15" x14ac:dyDescent="0.3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3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</row>
    <row r="12" spans="1:15" x14ac:dyDescent="0.3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s="2" customFormat="1" x14ac:dyDescent="0.3">
      <c r="A13" s="2" t="s">
        <v>29</v>
      </c>
      <c r="B13" s="2">
        <f>MEDIAN(B3:B12)</f>
        <v>0</v>
      </c>
      <c r="C13" s="2">
        <f t="shared" ref="C13:O13" si="1">MEDIAN(C3:C12)</f>
        <v>0</v>
      </c>
      <c r="D13" s="2">
        <f t="shared" si="1"/>
        <v>0</v>
      </c>
      <c r="E13" s="2">
        <f t="shared" si="1"/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2">
        <f t="shared" si="1"/>
        <v>0</v>
      </c>
      <c r="L13" s="2">
        <f t="shared" si="1"/>
        <v>0</v>
      </c>
      <c r="M13" s="2">
        <f t="shared" si="1"/>
        <v>0</v>
      </c>
      <c r="N13" s="2">
        <f t="shared" si="1"/>
        <v>0</v>
      </c>
      <c r="O13" s="2">
        <f t="shared" si="1"/>
        <v>1</v>
      </c>
    </row>
    <row r="14" spans="1:15" x14ac:dyDescent="0.3">
      <c r="A14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5</v>
      </c>
      <c r="J14">
        <v>21</v>
      </c>
      <c r="K14">
        <v>88</v>
      </c>
      <c r="L14">
        <v>304</v>
      </c>
      <c r="M14">
        <v>1258</v>
      </c>
      <c r="N14">
        <v>5141</v>
      </c>
      <c r="O14">
        <v>21297</v>
      </c>
    </row>
    <row r="15" spans="1:15" x14ac:dyDescent="0.3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5</v>
      </c>
      <c r="J15">
        <v>23</v>
      </c>
      <c r="K15">
        <v>88</v>
      </c>
      <c r="L15">
        <v>309</v>
      </c>
      <c r="M15">
        <v>1253</v>
      </c>
      <c r="N15">
        <v>5510</v>
      </c>
      <c r="O15">
        <v>20620</v>
      </c>
    </row>
    <row r="16" spans="1:15" x14ac:dyDescent="0.3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4</v>
      </c>
      <c r="J16">
        <v>21</v>
      </c>
      <c r="K16">
        <v>88</v>
      </c>
      <c r="L16">
        <v>304</v>
      </c>
      <c r="M16">
        <v>1324</v>
      </c>
      <c r="N16">
        <v>5340</v>
      </c>
      <c r="O16">
        <v>21425</v>
      </c>
    </row>
    <row r="17" spans="1:15" x14ac:dyDescent="0.3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6</v>
      </c>
      <c r="J17">
        <v>19</v>
      </c>
      <c r="K17">
        <v>76</v>
      </c>
      <c r="L17">
        <v>302</v>
      </c>
      <c r="M17">
        <v>1218</v>
      </c>
      <c r="N17">
        <v>5201</v>
      </c>
      <c r="O17">
        <v>21026</v>
      </c>
    </row>
    <row r="18" spans="1:15" x14ac:dyDescent="0.3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4</v>
      </c>
      <c r="J18">
        <v>19</v>
      </c>
      <c r="K18">
        <v>75</v>
      </c>
      <c r="L18">
        <v>303</v>
      </c>
      <c r="M18">
        <v>1378</v>
      </c>
      <c r="N18">
        <v>5558</v>
      </c>
      <c r="O18">
        <v>20368</v>
      </c>
    </row>
    <row r="19" spans="1:15" x14ac:dyDescent="0.3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</v>
      </c>
      <c r="J19">
        <v>19</v>
      </c>
      <c r="K19">
        <v>76</v>
      </c>
      <c r="L19">
        <v>351</v>
      </c>
      <c r="M19">
        <v>1238</v>
      </c>
      <c r="N19">
        <v>5200</v>
      </c>
      <c r="O19">
        <v>20490</v>
      </c>
    </row>
    <row r="20" spans="1:15" x14ac:dyDescent="0.3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J20">
        <v>18</v>
      </c>
      <c r="K20">
        <v>77</v>
      </c>
      <c r="L20">
        <v>304</v>
      </c>
      <c r="M20">
        <v>1263</v>
      </c>
      <c r="N20">
        <v>5173</v>
      </c>
      <c r="O20">
        <v>20834</v>
      </c>
    </row>
    <row r="21" spans="1:15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6</v>
      </c>
      <c r="J21">
        <v>19</v>
      </c>
      <c r="K21">
        <v>76</v>
      </c>
      <c r="L21">
        <v>311</v>
      </c>
      <c r="M21">
        <v>1409</v>
      </c>
      <c r="N21">
        <v>5138</v>
      </c>
      <c r="O21">
        <v>20222</v>
      </c>
    </row>
    <row r="22" spans="1:15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5</v>
      </c>
      <c r="J22">
        <v>19</v>
      </c>
      <c r="K22">
        <v>75</v>
      </c>
      <c r="L22">
        <v>304</v>
      </c>
      <c r="M22">
        <v>1366</v>
      </c>
      <c r="N22">
        <v>5184</v>
      </c>
      <c r="O22">
        <v>20899</v>
      </c>
    </row>
    <row r="23" spans="1:15" x14ac:dyDescent="0.3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</v>
      </c>
      <c r="J23">
        <v>18</v>
      </c>
      <c r="K23">
        <v>76</v>
      </c>
      <c r="L23">
        <v>314</v>
      </c>
      <c r="M23">
        <v>1227</v>
      </c>
      <c r="N23">
        <v>5271</v>
      </c>
      <c r="O23">
        <v>21056</v>
      </c>
    </row>
    <row r="24" spans="1:15" s="2" customFormat="1" x14ac:dyDescent="0.3">
      <c r="A24" s="2" t="s">
        <v>31</v>
      </c>
      <c r="B24" s="2">
        <f>MEDIAN(B14:B23)</f>
        <v>0</v>
      </c>
      <c r="C24" s="2">
        <f t="shared" ref="C24:O24" si="2">MEDIAN(C14:C23)</f>
        <v>0</v>
      </c>
      <c r="D24" s="2">
        <f t="shared" si="2"/>
        <v>0</v>
      </c>
      <c r="E24" s="2">
        <f t="shared" si="2"/>
        <v>0</v>
      </c>
      <c r="F24" s="2">
        <f t="shared" si="2"/>
        <v>0</v>
      </c>
      <c r="G24" s="2">
        <f t="shared" si="2"/>
        <v>0</v>
      </c>
      <c r="H24" s="2">
        <f t="shared" si="2"/>
        <v>1</v>
      </c>
      <c r="I24" s="2">
        <f t="shared" si="2"/>
        <v>5</v>
      </c>
      <c r="J24" s="2">
        <f t="shared" si="2"/>
        <v>19</v>
      </c>
      <c r="K24" s="2">
        <f t="shared" si="2"/>
        <v>76</v>
      </c>
      <c r="L24" s="2">
        <f t="shared" si="2"/>
        <v>304</v>
      </c>
      <c r="M24" s="2">
        <f t="shared" si="2"/>
        <v>1260.5</v>
      </c>
      <c r="N24" s="2">
        <f t="shared" si="2"/>
        <v>5200.5</v>
      </c>
      <c r="O24" s="2">
        <f t="shared" si="2"/>
        <v>20866.5</v>
      </c>
    </row>
    <row r="25" spans="1:15" x14ac:dyDescent="0.3">
      <c r="A25" t="s">
        <v>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13</v>
      </c>
      <c r="N25">
        <v>48</v>
      </c>
      <c r="O25">
        <v>243</v>
      </c>
    </row>
    <row r="26" spans="1:15" x14ac:dyDescent="0.3">
      <c r="A26" t="s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14</v>
      </c>
      <c r="N26">
        <v>49</v>
      </c>
      <c r="O26">
        <v>354</v>
      </c>
    </row>
    <row r="27" spans="1:15" x14ac:dyDescent="0.3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12</v>
      </c>
      <c r="N27">
        <v>50</v>
      </c>
      <c r="O27">
        <v>216</v>
      </c>
    </row>
    <row r="28" spans="1:15" x14ac:dyDescent="0.3">
      <c r="A28" t="s">
        <v>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3</v>
      </c>
      <c r="M28">
        <v>12</v>
      </c>
      <c r="N28">
        <v>51</v>
      </c>
      <c r="O28">
        <v>195</v>
      </c>
    </row>
    <row r="29" spans="1:15" x14ac:dyDescent="0.3">
      <c r="A29" t="s">
        <v>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13</v>
      </c>
      <c r="N29">
        <v>52</v>
      </c>
      <c r="O29">
        <v>195</v>
      </c>
    </row>
    <row r="30" spans="1:15" x14ac:dyDescent="0.3">
      <c r="A30" t="s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13</v>
      </c>
      <c r="N30">
        <v>51</v>
      </c>
      <c r="O30">
        <v>196</v>
      </c>
    </row>
    <row r="31" spans="1:15" x14ac:dyDescent="0.3">
      <c r="A31" t="s">
        <v>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2</v>
      </c>
      <c r="M31">
        <v>15</v>
      </c>
      <c r="N31">
        <v>50</v>
      </c>
      <c r="O31">
        <v>221</v>
      </c>
    </row>
    <row r="32" spans="1:15" x14ac:dyDescent="0.3">
      <c r="A32" t="s">
        <v>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3</v>
      </c>
      <c r="M32">
        <v>13</v>
      </c>
      <c r="N32">
        <v>55</v>
      </c>
      <c r="O32">
        <v>198</v>
      </c>
    </row>
    <row r="33" spans="1:15" x14ac:dyDescent="0.3">
      <c r="A33" t="s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</v>
      </c>
      <c r="M33">
        <v>12</v>
      </c>
      <c r="N33">
        <v>51</v>
      </c>
      <c r="O33">
        <v>198</v>
      </c>
    </row>
    <row r="34" spans="1:15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2</v>
      </c>
      <c r="M34">
        <v>13</v>
      </c>
      <c r="N34">
        <v>53</v>
      </c>
      <c r="O34">
        <v>200</v>
      </c>
    </row>
    <row r="35" spans="1:15" s="2" customFormat="1" x14ac:dyDescent="0.3">
      <c r="A35" s="2" t="s">
        <v>32</v>
      </c>
      <c r="B35" s="2">
        <f>MEDIAN(B25:B34)</f>
        <v>0</v>
      </c>
      <c r="C35" s="2">
        <f t="shared" ref="C35:O35" si="3">MEDIAN(C25:C34)</f>
        <v>0</v>
      </c>
      <c r="D35" s="2">
        <f t="shared" si="3"/>
        <v>0</v>
      </c>
      <c r="E35" s="2">
        <f t="shared" si="3"/>
        <v>0</v>
      </c>
      <c r="F35" s="2">
        <f t="shared" si="3"/>
        <v>0</v>
      </c>
      <c r="G35" s="2">
        <f t="shared" si="3"/>
        <v>0</v>
      </c>
      <c r="H35" s="2">
        <f t="shared" si="3"/>
        <v>0</v>
      </c>
      <c r="I35" s="2">
        <f t="shared" si="3"/>
        <v>0</v>
      </c>
      <c r="J35" s="2">
        <f t="shared" si="3"/>
        <v>0</v>
      </c>
      <c r="K35" s="2">
        <f t="shared" si="3"/>
        <v>0</v>
      </c>
      <c r="L35" s="2">
        <f t="shared" si="3"/>
        <v>3</v>
      </c>
      <c r="M35" s="2">
        <f t="shared" si="3"/>
        <v>13</v>
      </c>
      <c r="N35" s="2">
        <f t="shared" si="3"/>
        <v>51</v>
      </c>
      <c r="O35" s="2">
        <f t="shared" si="3"/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DC98-DE0C-4CF6-9989-04F6C20D8A2B}">
  <dimension ref="A1:O35"/>
  <sheetViews>
    <sheetView zoomScale="70" zoomScaleNormal="70" workbookViewId="0">
      <selection activeCell="B3" sqref="B3:K12"/>
    </sheetView>
  </sheetViews>
  <sheetFormatPr defaultRowHeight="14.4" x14ac:dyDescent="0.3"/>
  <cols>
    <col min="1" max="1" width="33.33203125" bestFit="1" customWidth="1"/>
  </cols>
  <sheetData>
    <row r="1" spans="1:15" x14ac:dyDescent="0.3">
      <c r="A1" t="s">
        <v>33</v>
      </c>
    </row>
    <row r="2" spans="1:15" x14ac:dyDescent="0.3"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>
        <f>2*L2</f>
        <v>32768</v>
      </c>
      <c r="N2" s="3">
        <f>2*M2</f>
        <v>65536</v>
      </c>
      <c r="O2" s="3">
        <f>2*N2</f>
        <v>131072</v>
      </c>
    </row>
    <row r="3" spans="1:15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0</v>
      </c>
      <c r="N3">
        <v>0</v>
      </c>
      <c r="O3">
        <v>1</v>
      </c>
    </row>
    <row r="4" spans="1:15" x14ac:dyDescent="0.3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 spans="1:15" x14ac:dyDescent="0.3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</row>
    <row r="6" spans="1:15" x14ac:dyDescent="0.3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</row>
    <row r="7" spans="1:15" x14ac:dyDescent="0.3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3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3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s="2" customFormat="1" x14ac:dyDescent="0.3">
      <c r="A13" s="2" t="s">
        <v>29</v>
      </c>
      <c r="B13" s="2">
        <f>MEDIAN(B3:B12)</f>
        <v>0</v>
      </c>
      <c r="C13" s="2">
        <f t="shared" ref="C13:O13" si="1">MEDIAN(C3:C12)</f>
        <v>0</v>
      </c>
      <c r="D13" s="2">
        <f t="shared" si="1"/>
        <v>0</v>
      </c>
      <c r="E13" s="2">
        <f t="shared" si="1"/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2">
        <f t="shared" si="1"/>
        <v>0</v>
      </c>
      <c r="L13" s="2">
        <f t="shared" si="1"/>
        <v>0</v>
      </c>
      <c r="M13" s="2">
        <f t="shared" si="1"/>
        <v>0</v>
      </c>
      <c r="N13" s="2">
        <f t="shared" si="1"/>
        <v>0</v>
      </c>
      <c r="O13" s="2">
        <f t="shared" si="1"/>
        <v>0.5</v>
      </c>
    </row>
    <row r="14" spans="1:15" x14ac:dyDescent="0.3">
      <c r="A14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 x14ac:dyDescent="0.3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</row>
    <row r="24" spans="1:15" s="2" customFormat="1" x14ac:dyDescent="0.3">
      <c r="A24" s="2" t="s">
        <v>31</v>
      </c>
      <c r="B24" s="2">
        <f>MEDIAN(B14:B23)</f>
        <v>0</v>
      </c>
      <c r="C24" s="2">
        <f t="shared" ref="C24:O24" si="2">MEDIAN(C14:C23)</f>
        <v>0</v>
      </c>
      <c r="D24" s="2">
        <f t="shared" si="2"/>
        <v>0</v>
      </c>
      <c r="E24" s="2">
        <f t="shared" si="2"/>
        <v>0</v>
      </c>
      <c r="F24" s="2">
        <f t="shared" si="2"/>
        <v>0</v>
      </c>
      <c r="G24" s="2">
        <f t="shared" si="2"/>
        <v>0</v>
      </c>
      <c r="H24" s="2">
        <f t="shared" si="2"/>
        <v>0</v>
      </c>
      <c r="I24" s="2">
        <f t="shared" si="2"/>
        <v>0</v>
      </c>
      <c r="J24" s="2">
        <f t="shared" si="2"/>
        <v>0</v>
      </c>
      <c r="K24" s="2">
        <f t="shared" si="2"/>
        <v>0</v>
      </c>
      <c r="L24" s="2">
        <f t="shared" si="2"/>
        <v>0</v>
      </c>
      <c r="M24" s="2">
        <f t="shared" si="2"/>
        <v>0</v>
      </c>
      <c r="N24" s="2">
        <f t="shared" si="2"/>
        <v>0</v>
      </c>
      <c r="O24" s="2">
        <f t="shared" si="2"/>
        <v>0</v>
      </c>
    </row>
    <row r="25" spans="1:15" x14ac:dyDescent="0.3">
      <c r="A25" t="s">
        <v>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</row>
    <row r="26" spans="1:15" x14ac:dyDescent="0.3">
      <c r="A26" t="s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 x14ac:dyDescent="0.3">
      <c r="A29" t="s">
        <v>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3">
      <c r="A30" t="s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s="2" customFormat="1" x14ac:dyDescent="0.3">
      <c r="A35" s="2" t="s">
        <v>32</v>
      </c>
      <c r="B35" s="2">
        <f>MEDIAN(B25:B34)</f>
        <v>0</v>
      </c>
      <c r="C35" s="2">
        <f t="shared" ref="C35:O35" si="3">MEDIAN(C25:C34)</f>
        <v>0</v>
      </c>
      <c r="D35" s="2">
        <f t="shared" si="3"/>
        <v>0</v>
      </c>
      <c r="E35" s="2">
        <f t="shared" si="3"/>
        <v>0</v>
      </c>
      <c r="F35" s="2">
        <f t="shared" si="3"/>
        <v>0</v>
      </c>
      <c r="G35" s="2">
        <f t="shared" si="3"/>
        <v>0</v>
      </c>
      <c r="H35" s="2">
        <f t="shared" si="3"/>
        <v>0</v>
      </c>
      <c r="I35" s="2">
        <f t="shared" si="3"/>
        <v>0</v>
      </c>
      <c r="J35" s="2">
        <f t="shared" si="3"/>
        <v>0</v>
      </c>
      <c r="K35" s="2">
        <f t="shared" si="3"/>
        <v>0</v>
      </c>
      <c r="L35" s="2">
        <f t="shared" si="3"/>
        <v>0</v>
      </c>
      <c r="M35" s="2">
        <f t="shared" si="3"/>
        <v>0</v>
      </c>
      <c r="N35" s="2">
        <f t="shared" si="3"/>
        <v>0</v>
      </c>
      <c r="O35" s="2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7B15-23B5-4114-BB2B-58184428AA1F}">
  <dimension ref="A1:O35"/>
  <sheetViews>
    <sheetView zoomScale="55" zoomScaleNormal="55" workbookViewId="0">
      <selection activeCell="A35" activeCellId="2" sqref="A13:L13 A24:L24 A35:L35"/>
    </sheetView>
  </sheetViews>
  <sheetFormatPr defaultRowHeight="14.4" x14ac:dyDescent="0.3"/>
  <cols>
    <col min="1" max="1" width="33.33203125" bestFit="1" customWidth="1"/>
  </cols>
  <sheetData>
    <row r="1" spans="1:15" x14ac:dyDescent="0.3">
      <c r="A1" t="s">
        <v>34</v>
      </c>
    </row>
    <row r="2" spans="1:15" x14ac:dyDescent="0.3"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/>
      <c r="N2" s="3"/>
      <c r="O2" s="3"/>
    </row>
    <row r="3" spans="1:15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5" x14ac:dyDescent="0.3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</row>
    <row r="5" spans="1:15" x14ac:dyDescent="0.3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5" x14ac:dyDescent="0.3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5" x14ac:dyDescent="0.3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5" x14ac:dyDescent="0.3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5" x14ac:dyDescent="0.3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5" x14ac:dyDescent="0.3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5" x14ac:dyDescent="0.3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5" x14ac:dyDescent="0.3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5" x14ac:dyDescent="0.3">
      <c r="A13" s="2" t="s">
        <v>29</v>
      </c>
      <c r="B13" s="2">
        <f>MEDIAN(B3:B12)</f>
        <v>0</v>
      </c>
      <c r="C13" s="2">
        <f t="shared" ref="C13:L13" si="1">MEDIAN(C3:C12)</f>
        <v>0</v>
      </c>
      <c r="D13" s="2">
        <f t="shared" si="1"/>
        <v>0</v>
      </c>
      <c r="E13" s="2">
        <f t="shared" si="1"/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2">
        <f t="shared" si="1"/>
        <v>0</v>
      </c>
      <c r="L13" s="2">
        <f t="shared" si="1"/>
        <v>0</v>
      </c>
      <c r="M13" s="2"/>
      <c r="N13" s="2"/>
      <c r="O13" s="2"/>
    </row>
    <row r="14" spans="1:15" x14ac:dyDescent="0.3">
      <c r="A14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5" x14ac:dyDescent="0.3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5" x14ac:dyDescent="0.3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5" x14ac:dyDescent="0.3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5" x14ac:dyDescent="0.3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5" x14ac:dyDescent="0.3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5" x14ac:dyDescent="0.3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5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5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5" x14ac:dyDescent="0.3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5" x14ac:dyDescent="0.3">
      <c r="A24" s="2" t="s">
        <v>31</v>
      </c>
      <c r="B24" s="2">
        <f>MEDIAN(B14:B23)</f>
        <v>0</v>
      </c>
      <c r="C24" s="2">
        <f t="shared" ref="C24:L24" si="2">MEDIAN(C14:C23)</f>
        <v>0</v>
      </c>
      <c r="D24" s="2">
        <f t="shared" si="2"/>
        <v>0</v>
      </c>
      <c r="E24" s="2">
        <f t="shared" si="2"/>
        <v>0</v>
      </c>
      <c r="F24" s="2">
        <f t="shared" si="2"/>
        <v>0</v>
      </c>
      <c r="G24" s="2">
        <f t="shared" si="2"/>
        <v>0</v>
      </c>
      <c r="H24" s="2">
        <f t="shared" si="2"/>
        <v>0</v>
      </c>
      <c r="I24" s="2">
        <f t="shared" si="2"/>
        <v>0</v>
      </c>
      <c r="J24" s="2">
        <f t="shared" si="2"/>
        <v>0</v>
      </c>
      <c r="K24" s="2">
        <f t="shared" si="2"/>
        <v>0</v>
      </c>
      <c r="L24" s="2">
        <f t="shared" si="2"/>
        <v>0</v>
      </c>
      <c r="M24" s="2"/>
      <c r="N24" s="2"/>
      <c r="O24" s="2"/>
    </row>
    <row r="25" spans="1:15" x14ac:dyDescent="0.3">
      <c r="A25" t="s">
        <v>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5" x14ac:dyDescent="0.3">
      <c r="A26" t="s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5" x14ac:dyDescent="0.3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5" x14ac:dyDescent="0.3">
      <c r="A28" t="s">
        <v>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5" x14ac:dyDescent="0.3">
      <c r="A29" t="s">
        <v>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5" x14ac:dyDescent="0.3">
      <c r="A30" t="s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5" x14ac:dyDescent="0.3">
      <c r="A31" t="s">
        <v>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5" x14ac:dyDescent="0.3">
      <c r="A32" t="s">
        <v>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5" x14ac:dyDescent="0.3">
      <c r="A33" t="s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5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5" x14ac:dyDescent="0.3">
      <c r="A35" s="2" t="s">
        <v>32</v>
      </c>
      <c r="B35" s="2">
        <f>MEDIAN(B25:B34)</f>
        <v>0</v>
      </c>
      <c r="C35" s="2">
        <f t="shared" ref="C35:L35" si="3">MEDIAN(C25:C34)</f>
        <v>0</v>
      </c>
      <c r="D35" s="2">
        <f t="shared" si="3"/>
        <v>0</v>
      </c>
      <c r="E35" s="2">
        <f t="shared" si="3"/>
        <v>0</v>
      </c>
      <c r="F35" s="2">
        <f t="shared" si="3"/>
        <v>0</v>
      </c>
      <c r="G35" s="2">
        <f t="shared" si="3"/>
        <v>0</v>
      </c>
      <c r="H35" s="2">
        <f t="shared" si="3"/>
        <v>0</v>
      </c>
      <c r="I35" s="2">
        <f t="shared" si="3"/>
        <v>0</v>
      </c>
      <c r="J35" s="2">
        <f t="shared" si="3"/>
        <v>0</v>
      </c>
      <c r="K35" s="2">
        <f t="shared" si="3"/>
        <v>0</v>
      </c>
      <c r="L35" s="2">
        <f t="shared" si="3"/>
        <v>0</v>
      </c>
      <c r="M35" s="2"/>
      <c r="N35" s="2"/>
      <c r="O3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A9A-48B7-4E76-BBC3-318A2BAC5D9A}">
  <dimension ref="A1:Y17"/>
  <sheetViews>
    <sheetView zoomScale="70" zoomScaleNormal="70" workbookViewId="0">
      <selection activeCell="T27" sqref="T27"/>
    </sheetView>
  </sheetViews>
  <sheetFormatPr defaultRowHeight="14.4" x14ac:dyDescent="0.3"/>
  <cols>
    <col min="1" max="1" width="33.33203125" bestFit="1" customWidth="1"/>
  </cols>
  <sheetData>
    <row r="1" spans="1:25" x14ac:dyDescent="0.3">
      <c r="A1" t="s">
        <v>35</v>
      </c>
    </row>
    <row r="2" spans="1:25" x14ac:dyDescent="0.3">
      <c r="B2" s="3">
        <v>16</v>
      </c>
      <c r="C2" s="3">
        <v>32</v>
      </c>
      <c r="D2" s="3">
        <f>2*C2</f>
        <v>64</v>
      </c>
      <c r="E2" s="3">
        <f t="shared" ref="E2:L2" si="0">2*D2</f>
        <v>128</v>
      </c>
      <c r="F2" s="3">
        <f t="shared" si="0"/>
        <v>256</v>
      </c>
      <c r="G2" s="3">
        <f t="shared" si="0"/>
        <v>512</v>
      </c>
      <c r="H2" s="3">
        <f t="shared" si="0"/>
        <v>1024</v>
      </c>
      <c r="I2" s="3">
        <f t="shared" si="0"/>
        <v>2048</v>
      </c>
      <c r="J2" s="3">
        <f t="shared" si="0"/>
        <v>4096</v>
      </c>
      <c r="K2" s="3">
        <f t="shared" si="0"/>
        <v>8192</v>
      </c>
      <c r="L2" s="3">
        <f t="shared" si="0"/>
        <v>16384</v>
      </c>
      <c r="M2" s="3">
        <f>2*L2</f>
        <v>32768</v>
      </c>
      <c r="N2" s="3">
        <f>2*M2</f>
        <v>65536</v>
      </c>
      <c r="O2" s="3">
        <f>2*N2</f>
        <v>131072</v>
      </c>
      <c r="R2" s="3">
        <v>1024</v>
      </c>
      <c r="S2" s="3">
        <v>2048</v>
      </c>
      <c r="T2" s="3">
        <v>4096</v>
      </c>
      <c r="U2" s="3">
        <v>8192</v>
      </c>
      <c r="V2" s="3">
        <v>16384</v>
      </c>
      <c r="W2" s="3">
        <v>32768</v>
      </c>
      <c r="X2" s="3">
        <v>65536</v>
      </c>
      <c r="Y2" s="3">
        <v>131072</v>
      </c>
    </row>
    <row r="3" spans="1:25" x14ac:dyDescent="0.3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Q3" t="s">
        <v>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 x14ac:dyDescent="0.3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5</v>
      </c>
      <c r="J4">
        <v>19</v>
      </c>
      <c r="K4">
        <v>76</v>
      </c>
      <c r="L4">
        <v>304</v>
      </c>
      <c r="M4">
        <v>1260.5</v>
      </c>
      <c r="N4">
        <v>5200.5</v>
      </c>
      <c r="O4">
        <v>20866.5</v>
      </c>
      <c r="Q4" t="s">
        <v>31</v>
      </c>
      <c r="R4">
        <v>1</v>
      </c>
      <c r="S4">
        <v>5</v>
      </c>
      <c r="T4">
        <v>19</v>
      </c>
      <c r="U4">
        <v>76</v>
      </c>
      <c r="V4">
        <v>304</v>
      </c>
      <c r="W4">
        <v>1260.5</v>
      </c>
      <c r="X4">
        <v>5200.5</v>
      </c>
      <c r="Y4">
        <v>20866.5</v>
      </c>
    </row>
    <row r="5" spans="1:25" x14ac:dyDescent="0.3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13</v>
      </c>
      <c r="N5">
        <v>51</v>
      </c>
      <c r="O5">
        <v>199</v>
      </c>
      <c r="Q5" t="s">
        <v>32</v>
      </c>
      <c r="R5">
        <v>0</v>
      </c>
      <c r="S5">
        <v>0</v>
      </c>
      <c r="T5">
        <v>0</v>
      </c>
      <c r="U5">
        <v>0</v>
      </c>
      <c r="V5">
        <v>3</v>
      </c>
      <c r="W5">
        <v>13</v>
      </c>
      <c r="X5">
        <v>51</v>
      </c>
      <c r="Y5">
        <v>199</v>
      </c>
    </row>
    <row r="7" spans="1:25" x14ac:dyDescent="0.3">
      <c r="A7" t="s">
        <v>36</v>
      </c>
    </row>
    <row r="8" spans="1:25" x14ac:dyDescent="0.3">
      <c r="B8" s="3">
        <v>16</v>
      </c>
      <c r="C8" s="3">
        <v>32</v>
      </c>
      <c r="D8" s="3">
        <f>2*C8</f>
        <v>64</v>
      </c>
      <c r="E8" s="3">
        <f t="shared" ref="E8:L8" si="1">2*D8</f>
        <v>128</v>
      </c>
      <c r="F8" s="3">
        <f t="shared" si="1"/>
        <v>256</v>
      </c>
      <c r="G8" s="3">
        <f t="shared" si="1"/>
        <v>512</v>
      </c>
      <c r="H8" s="3">
        <f t="shared" si="1"/>
        <v>1024</v>
      </c>
      <c r="I8" s="3">
        <f t="shared" si="1"/>
        <v>2048</v>
      </c>
      <c r="J8" s="3">
        <f t="shared" si="1"/>
        <v>4096</v>
      </c>
      <c r="K8" s="3">
        <f t="shared" si="1"/>
        <v>8192</v>
      </c>
      <c r="L8" s="3">
        <f t="shared" si="1"/>
        <v>16384</v>
      </c>
      <c r="M8" s="3">
        <f>2*L8</f>
        <v>32768</v>
      </c>
      <c r="N8" s="3">
        <f>2*M8</f>
        <v>65536</v>
      </c>
      <c r="O8" s="3">
        <f>2*N8</f>
        <v>131072</v>
      </c>
    </row>
    <row r="9" spans="1:25" x14ac:dyDescent="0.3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0.5</v>
      </c>
    </row>
    <row r="10" spans="1:25" x14ac:dyDescent="0.3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25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3" spans="1:25" x14ac:dyDescent="0.3">
      <c r="A13" t="s">
        <v>37</v>
      </c>
    </row>
    <row r="14" spans="1:25" x14ac:dyDescent="0.3">
      <c r="B14" s="3">
        <v>16</v>
      </c>
      <c r="C14" s="3">
        <v>32</v>
      </c>
      <c r="D14" s="3">
        <f>2*C14</f>
        <v>64</v>
      </c>
      <c r="E14" s="3">
        <f t="shared" ref="E14:L14" si="2">2*D14</f>
        <v>128</v>
      </c>
      <c r="F14" s="3">
        <f t="shared" si="2"/>
        <v>256</v>
      </c>
      <c r="G14" s="3">
        <f t="shared" si="2"/>
        <v>512</v>
      </c>
      <c r="H14" s="3">
        <f t="shared" si="2"/>
        <v>1024</v>
      </c>
      <c r="I14" s="3">
        <f t="shared" si="2"/>
        <v>2048</v>
      </c>
      <c r="J14" s="3">
        <f t="shared" si="2"/>
        <v>4096</v>
      </c>
      <c r="K14" s="3">
        <f t="shared" si="2"/>
        <v>8192</v>
      </c>
      <c r="L14" s="3">
        <f t="shared" si="2"/>
        <v>16384</v>
      </c>
    </row>
    <row r="15" spans="1:25" x14ac:dyDescent="0.3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25" x14ac:dyDescent="0.3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EDD9-97E4-49C0-8AE9-FC4849347728}">
  <dimension ref="A1:A3"/>
  <sheetViews>
    <sheetView tabSelected="1" workbookViewId="0">
      <selection activeCell="N8" sqref="N8"/>
    </sheetView>
  </sheetViews>
  <sheetFormatPr defaultRowHeight="14.4" x14ac:dyDescent="0.3"/>
  <cols>
    <col min="1" max="1" width="32.6640625" customWidth="1"/>
  </cols>
  <sheetData>
    <row r="1" spans="1:1" x14ac:dyDescent="0.3">
      <c r="A1" t="s">
        <v>38</v>
      </c>
    </row>
    <row r="3" spans="1:1" x14ac:dyDescent="0.3">
      <c r="A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CR naiwna</vt:lpstr>
      <vt:lpstr>CR spamietywanie</vt:lpstr>
      <vt:lpstr>CR iteracyjna</vt:lpstr>
      <vt:lpstr>CR WSZYSTKIE</vt:lpstr>
      <vt:lpstr>LCS iteracyjna</vt:lpstr>
      <vt:lpstr>LCS rekurencyjna</vt:lpstr>
      <vt:lpstr>LCS WSYZSTKIE</vt:lpstr>
      <vt:lpstr>AS dynamiczny</vt:lpstr>
      <vt:lpstr>AS iteracyjny</vt:lpstr>
      <vt:lpstr>AS rekurencyjny</vt:lpstr>
      <vt:lpstr>AS wszystkie</vt:lpstr>
      <vt:lpstr>HUFFMAN wszystkie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cichecka</dc:creator>
  <cp:lastModifiedBy>aleksandra cichecka</cp:lastModifiedBy>
  <dcterms:created xsi:type="dcterms:W3CDTF">2026-01-13T13:39:15Z</dcterms:created>
  <dcterms:modified xsi:type="dcterms:W3CDTF">2026-01-14T20:44:53Z</dcterms:modified>
</cp:coreProperties>
</file>