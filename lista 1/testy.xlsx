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LA\Desktop\SPRAWOZDANIE\"/>
    </mc:Choice>
  </mc:AlternateContent>
  <xr:revisionPtr revIDLastSave="0" documentId="13_ncr:1_{5EE16EA0-49EC-4254-897C-50715AC0B21D}" xr6:coauthVersionLast="47" xr6:coauthVersionMax="47" xr10:uidLastSave="{00000000-0000-0000-0000-000000000000}"/>
  <bookViews>
    <workbookView xWindow="28800" yWindow="0" windowWidth="11400" windowHeight="11520" tabRatio="963" activeTab="6" xr2:uid="{00000000-000D-0000-FFFF-FFFF00000000}"/>
  </bookViews>
  <sheets>
    <sheet name="insertion sort" sheetId="5" r:id="rId1"/>
    <sheet name="IS srednia dla b duzych" sheetId="7" r:id="rId2"/>
    <sheet name="ISM srednia dla b duzych" sheetId="2" r:id="rId3"/>
    <sheet name="merge sort" sheetId="6" r:id="rId4"/>
    <sheet name="MS srednia dla b duzych" sheetId="8" r:id="rId5"/>
    <sheet name="MSM srednia dla b duzych" sheetId="3" r:id="rId6"/>
    <sheet name="heap sort" sheetId="9" r:id="rId7"/>
    <sheet name="HS srednia dla b duzych" sheetId="10" r:id="rId8"/>
    <sheet name="HSM srednia dla b duzych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5" l="1"/>
  <c r="X4" i="5"/>
  <c r="X3" i="5"/>
  <c r="X8" i="5"/>
  <c r="X7" i="5"/>
  <c r="X6" i="5"/>
  <c r="G25" i="5"/>
  <c r="G26" i="5"/>
  <c r="G24" i="5"/>
  <c r="G52" i="5"/>
  <c r="G53" i="5"/>
  <c r="G51" i="5"/>
  <c r="L14" i="10"/>
  <c r="L46" i="10"/>
  <c r="L45" i="10"/>
  <c r="L44" i="10"/>
  <c r="L41" i="10"/>
  <c r="L40" i="10"/>
  <c r="L39" i="10"/>
  <c r="L36" i="10"/>
  <c r="L35" i="10"/>
  <c r="L34" i="10"/>
  <c r="L46" i="8"/>
  <c r="L45" i="8"/>
  <c r="L44" i="8"/>
  <c r="L41" i="8"/>
  <c r="L40" i="8"/>
  <c r="L39" i="8"/>
  <c r="L36" i="8"/>
  <c r="L35" i="8"/>
  <c r="L34" i="8"/>
  <c r="L30" i="10"/>
  <c r="L29" i="10"/>
  <c r="L28" i="10"/>
  <c r="L24" i="10"/>
  <c r="L23" i="10"/>
  <c r="L22" i="10"/>
  <c r="L19" i="10"/>
  <c r="L18" i="10"/>
  <c r="L17" i="10"/>
  <c r="L13" i="10"/>
  <c r="L12" i="10"/>
  <c r="L9" i="10"/>
  <c r="L8" i="10"/>
  <c r="L7" i="10"/>
  <c r="L28" i="8"/>
  <c r="L30" i="8"/>
  <c r="L29" i="8"/>
  <c r="L24" i="8"/>
  <c r="L23" i="8"/>
  <c r="L22" i="8"/>
  <c r="L19" i="8"/>
  <c r="L18" i="8"/>
  <c r="L17" i="8"/>
  <c r="L14" i="8"/>
  <c r="L13" i="8"/>
  <c r="L12" i="8"/>
  <c r="L9" i="8"/>
  <c r="L8" i="8"/>
  <c r="L7" i="8"/>
  <c r="L24" i="7"/>
  <c r="L23" i="7"/>
  <c r="L22" i="7"/>
  <c r="L19" i="7"/>
  <c r="L18" i="7"/>
  <c r="L17" i="7"/>
  <c r="L14" i="7"/>
  <c r="L13" i="7"/>
  <c r="L12" i="7"/>
  <c r="L9" i="7"/>
  <c r="L8" i="7"/>
  <c r="L7" i="7"/>
  <c r="L23" i="4"/>
  <c r="L24" i="4"/>
  <c r="L22" i="4"/>
  <c r="L46" i="4"/>
  <c r="L45" i="4"/>
  <c r="L44" i="4"/>
  <c r="L41" i="4"/>
  <c r="L40" i="4"/>
  <c r="L39" i="4"/>
  <c r="L36" i="4"/>
  <c r="L35" i="4"/>
  <c r="L34" i="4"/>
  <c r="L30" i="4"/>
  <c r="L29" i="4"/>
  <c r="L28" i="4"/>
  <c r="L46" i="3"/>
  <c r="L45" i="3"/>
  <c r="L44" i="3"/>
  <c r="L41" i="3"/>
  <c r="L40" i="3"/>
  <c r="L39" i="3"/>
  <c r="L36" i="3"/>
  <c r="L35" i="3"/>
  <c r="L34" i="3"/>
  <c r="L28" i="3"/>
  <c r="L30" i="3"/>
  <c r="L29" i="3"/>
  <c r="L23" i="3"/>
  <c r="L24" i="3"/>
  <c r="L22" i="3"/>
  <c r="L19" i="4"/>
  <c r="L18" i="4"/>
  <c r="L17" i="4"/>
  <c r="L14" i="4"/>
  <c r="L13" i="4"/>
  <c r="L12" i="4"/>
  <c r="L9" i="4"/>
  <c r="L8" i="4"/>
  <c r="L7" i="4"/>
  <c r="L19" i="3"/>
  <c r="L18" i="3"/>
  <c r="L17" i="3"/>
  <c r="L14" i="3"/>
  <c r="L13" i="3"/>
  <c r="L12" i="3"/>
  <c r="L9" i="3"/>
  <c r="L8" i="3"/>
  <c r="L7" i="3"/>
  <c r="L23" i="2"/>
  <c r="L24" i="2"/>
  <c r="L22" i="2"/>
  <c r="L19" i="2"/>
  <c r="L18" i="2"/>
  <c r="L17" i="2"/>
  <c r="L14" i="2"/>
  <c r="L13" i="2"/>
  <c r="L12" i="2"/>
  <c r="L8" i="2"/>
  <c r="L9" i="2"/>
  <c r="L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tc={4B744991-7D04-459F-9123-5D0147A86257}</author>
  </authors>
  <commentList>
    <comment ref="G50" authorId="0" shapeId="0" xr:uid="{4B744991-7D04-459F-9123-5D0147A86257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okolo 25 razy wieksze od 1mln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tc={E325979E-7860-48F4-86D0-7B7E9A9FFEC0}</author>
    <author>tc={A436C39D-6334-4399-81BB-8A095060CB66}</author>
  </authors>
  <commentList>
    <comment ref="A27" authorId="0" shapeId="0" xr:uid="{E325979E-7860-48F4-86D0-7B7E9A9FFEC0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tutaj trzeba bylo juz wyjac deklaracje tablicy i wielkosci jej z maina i dac jako zmienna globalna </t>
      </text>
    </comment>
    <comment ref="A33" authorId="1" shapeId="0" xr:uid="{A436C39D-6334-4399-81BB-8A095060CB66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okolo 25* dluzszy od 1mln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tc={C1FB176B-9803-4A95-8D76-D4983539A3B9}</author>
  </authors>
  <commentList>
    <comment ref="A27" authorId="0" shapeId="0" xr:uid="{C1FB176B-9803-4A95-8D76-D4983539A3B9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tutja trzeba na dynamiczna alokacje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tc={F55BB865-99F5-4F0E-AEEF-571671E2C0B0}</author>
  </authors>
  <commentList>
    <comment ref="A27" authorId="0" shapeId="0" xr:uid="{F55BB865-99F5-4F0E-AEEF-571671E2C0B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dynamiczna alokacja odtad
stack overflow</t>
      </text>
    </comment>
  </commentList>
</comments>
</file>

<file path=xl/sharedStrings.xml><?xml version="1.0" encoding="utf-8"?>
<sst xmlns="http://schemas.openxmlformats.org/spreadsheetml/2006/main" count="479" uniqueCount="43">
  <si>
    <t>porownania</t>
  </si>
  <si>
    <t xml:space="preserve">przypisania </t>
  </si>
  <si>
    <t>INSERTION SORT</t>
  </si>
  <si>
    <t>dla małych</t>
  </si>
  <si>
    <t>pusta tablica</t>
  </si>
  <si>
    <t>jeden element</t>
  </si>
  <si>
    <t>posortowana</t>
  </si>
  <si>
    <t>odwrocona</t>
  </si>
  <si>
    <t>losowo</t>
  </si>
  <si>
    <t>z ujemnymi</t>
  </si>
  <si>
    <t>z duplikatami</t>
  </si>
  <si>
    <t>dla średnich</t>
  </si>
  <si>
    <t>losowa</t>
  </si>
  <si>
    <t>dla duzych</t>
  </si>
  <si>
    <t>rowne</t>
  </si>
  <si>
    <t>rowne zera</t>
  </si>
  <si>
    <t>prawie posortowana</t>
  </si>
  <si>
    <t>inne</t>
  </si>
  <si>
    <t>2 elementy</t>
  </si>
  <si>
    <t>10 elementow</t>
  </si>
  <si>
    <t>20 elementow</t>
  </si>
  <si>
    <t>100 elementow</t>
  </si>
  <si>
    <t>500 elementow</t>
  </si>
  <si>
    <t>MERGE SORT</t>
  </si>
  <si>
    <t>HEAP SORT</t>
  </si>
  <si>
    <t>przypisania</t>
  </si>
  <si>
    <t>srednia</t>
  </si>
  <si>
    <t>czas w mikrosek</t>
  </si>
  <si>
    <t>HEAPSORT</t>
  </si>
  <si>
    <t>MERGESORT</t>
  </si>
  <si>
    <t>Z MODYFIKACJA</t>
  </si>
  <si>
    <t>BEZ MODYFIKACJI</t>
  </si>
  <si>
    <t>Z MODYFIKACJAMI</t>
  </si>
  <si>
    <t>INSERTION SORT Z MODYFIKACJA</t>
  </si>
  <si>
    <t>INSERTION SORT BEZ MODYFIKACJI</t>
  </si>
  <si>
    <t xml:space="preserve">dla małych </t>
  </si>
  <si>
    <t xml:space="preserve">czas dla bez mod </t>
  </si>
  <si>
    <t>porownania dla bez mod</t>
  </si>
  <si>
    <t>przypisania dla bez mod</t>
  </si>
  <si>
    <t xml:space="preserve">czas dla mod </t>
  </si>
  <si>
    <t>porownania dla mod</t>
  </si>
  <si>
    <t>przypisania dla mod</t>
  </si>
  <si>
    <t>tablica dla rozne rozmiary losowe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</si>
</sst>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czasu trwania algorytmu dla insertion sort 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'insertion sort'!$M$3</c:f>
              <c:strCache>
                <c:ptCount val="1"/>
                <c:pt idx="0">
                  <c:v>czas dla bez mod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'insertion sort'!$N$2:$X$2</c:f>
              <c:numCache>
                <c:formatCode>General</c:formatCode>
                <c:ptCount val="11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</c:numCache>
            </c:numRef>
          </c:xVal>
          <c:yVal>
            <c:numRef>
              <c:f>'insertion sort'!$N$3:$X$3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112763.1</c:v>
                </c:pt>
                <c:pt idx="6">
                  <c:v>3141361.2</c:v>
                </c:pt>
                <c:pt idx="7">
                  <c:v>11759362.9</c:v>
                </c:pt>
                <c:pt idx="8">
                  <c:v>309738688.33333331</c:v>
                </c:pt>
                <c:pt idx="9">
                  <c:v>1135560311</c:v>
                </c:pt>
                <c:pt idx="10">
                  <c:v>28389007775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19-414A-AB2C-17887BBF4E4B}"/>
            </c:ext>
          </c:extLst>
        </c:ser>
        <c:ser>
          <c:idx val="1"/>
          <c:order val="1"/>
          <c:tx>
            <c:strRef>
              <c:f>'insertion sort'!$M$6</c:f>
              <c:strCache>
                <c:ptCount val="1"/>
                <c:pt idx="0">
                  <c:v>czas dla mod 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'insertion sort'!$N$2:$X$2</c:f>
              <c:numCache>
                <c:formatCode>General</c:formatCode>
                <c:ptCount val="11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</c:numCache>
            </c:numRef>
          </c:xVal>
          <c:yVal>
            <c:numRef>
              <c:f>'insertion sort'!$N$6:$X$6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54362.9</c:v>
                </c:pt>
                <c:pt idx="6">
                  <c:v>1342032.8</c:v>
                </c:pt>
                <c:pt idx="7">
                  <c:v>5213683.5</c:v>
                </c:pt>
                <c:pt idx="8">
                  <c:v>139362518.66666666</c:v>
                </c:pt>
                <c:pt idx="9">
                  <c:v>529862772</c:v>
                </c:pt>
                <c:pt idx="10">
                  <c:v>13246569300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19-414A-AB2C-17887BBF4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624048"/>
        <c:axId val="781623088"/>
      </c:scatterChart>
      <c:valAx>
        <c:axId val="78162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81623088"/>
        <c:crosses val="autoZero"/>
        <c:crossBetween val="midCat"/>
      </c:valAx>
      <c:valAx>
        <c:axId val="78162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81624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liczby porówań i przypisań dla insertion sort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'insertion sort'!$M$4</c:f>
              <c:strCache>
                <c:ptCount val="1"/>
                <c:pt idx="0">
                  <c:v>porownania dla bez mod</c:v>
                </c:pt>
              </c:strCache>
            </c:strRef>
          </c:tx>
          <c:spPr>
            <a:ln w="3810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'insertion sort'!$N$2:$X$2</c:f>
              <c:numCache>
                <c:formatCode>General</c:formatCode>
                <c:ptCount val="11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</c:numCache>
            </c:numRef>
          </c:xVal>
          <c:yVal>
            <c:numRef>
              <c:f>'insertion sort'!$N$4:$X$4</c:f>
              <c:numCache>
                <c:formatCode>General</c:formatCode>
                <c:ptCount val="11"/>
                <c:pt idx="0">
                  <c:v>1</c:v>
                </c:pt>
                <c:pt idx="1">
                  <c:v>28</c:v>
                </c:pt>
                <c:pt idx="2">
                  <c:v>104</c:v>
                </c:pt>
                <c:pt idx="3">
                  <c:v>2781</c:v>
                </c:pt>
                <c:pt idx="4">
                  <c:v>66250</c:v>
                </c:pt>
                <c:pt idx="5">
                  <c:v>25007124</c:v>
                </c:pt>
                <c:pt idx="6">
                  <c:v>625339843.5</c:v>
                </c:pt>
                <c:pt idx="7">
                  <c:v>2498319056.1999998</c:v>
                </c:pt>
                <c:pt idx="8">
                  <c:v>62532073464</c:v>
                </c:pt>
                <c:pt idx="9">
                  <c:v>249983358361</c:v>
                </c:pt>
                <c:pt idx="10">
                  <c:v>6249583959025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A8-44D0-972E-55C6C2025651}"/>
            </c:ext>
          </c:extLst>
        </c:ser>
        <c:ser>
          <c:idx val="1"/>
          <c:order val="1"/>
          <c:tx>
            <c:strRef>
              <c:f>'insertion sort'!$M$5</c:f>
              <c:strCache>
                <c:ptCount val="1"/>
                <c:pt idx="0">
                  <c:v>przypisania dla bez mod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'insertion sort'!$N$2:$X$2</c:f>
              <c:numCache>
                <c:formatCode>General</c:formatCode>
                <c:ptCount val="11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</c:numCache>
            </c:numRef>
          </c:xVal>
          <c:yVal>
            <c:numRef>
              <c:f>'insertion sort'!$N$5:$X$5</c:f>
              <c:numCache>
                <c:formatCode>General</c:formatCode>
                <c:ptCount val="11"/>
                <c:pt idx="0">
                  <c:v>0</c:v>
                </c:pt>
                <c:pt idx="1">
                  <c:v>57</c:v>
                </c:pt>
                <c:pt idx="2">
                  <c:v>270</c:v>
                </c:pt>
                <c:pt idx="3">
                  <c:v>8055</c:v>
                </c:pt>
                <c:pt idx="4">
                  <c:v>197265</c:v>
                </c:pt>
                <c:pt idx="5">
                  <c:v>74991401.700000003</c:v>
                </c:pt>
                <c:pt idx="6">
                  <c:v>1875869558.4000001</c:v>
                </c:pt>
                <c:pt idx="7">
                  <c:v>7494657199.5</c:v>
                </c:pt>
                <c:pt idx="8">
                  <c:v>187594720429</c:v>
                </c:pt>
                <c:pt idx="9">
                  <c:v>749947075113</c:v>
                </c:pt>
                <c:pt idx="10">
                  <c:v>18748676877825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A8-44D0-972E-55C6C2025651}"/>
            </c:ext>
          </c:extLst>
        </c:ser>
        <c:ser>
          <c:idx val="2"/>
          <c:order val="2"/>
          <c:tx>
            <c:strRef>
              <c:f>'insertion sort'!$M$7</c:f>
              <c:strCache>
                <c:ptCount val="1"/>
                <c:pt idx="0">
                  <c:v>porownania dla mod</c:v>
                </c:pt>
              </c:strCache>
            </c:strRef>
          </c:tx>
          <c:spPr>
            <a:ln w="3810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'insertion sort'!$N$2:$X$2</c:f>
              <c:numCache>
                <c:formatCode>General</c:formatCode>
                <c:ptCount val="11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</c:numCache>
            </c:numRef>
          </c:xVal>
          <c:yVal>
            <c:numRef>
              <c:f>'insertion sort'!$N$7:$X$7</c:f>
              <c:numCache>
                <c:formatCode>General</c:formatCode>
                <c:ptCount val="11"/>
                <c:pt idx="0">
                  <c:v>1</c:v>
                </c:pt>
                <c:pt idx="1">
                  <c:v>23</c:v>
                </c:pt>
                <c:pt idx="2">
                  <c:v>81</c:v>
                </c:pt>
                <c:pt idx="3">
                  <c:v>1901</c:v>
                </c:pt>
                <c:pt idx="4">
                  <c:v>44184</c:v>
                </c:pt>
                <c:pt idx="5">
                  <c:v>16707445.800000001</c:v>
                </c:pt>
                <c:pt idx="6">
                  <c:v>416548668.10000002</c:v>
                </c:pt>
                <c:pt idx="7">
                  <c:v>1665256197</c:v>
                </c:pt>
                <c:pt idx="8">
                  <c:v>41673541960.333336</c:v>
                </c:pt>
                <c:pt idx="9">
                  <c:v>166668099699</c:v>
                </c:pt>
                <c:pt idx="10">
                  <c:v>4166702492475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A8-44D0-972E-55C6C2025651}"/>
            </c:ext>
          </c:extLst>
        </c:ser>
        <c:ser>
          <c:idx val="3"/>
          <c:order val="3"/>
          <c:tx>
            <c:strRef>
              <c:f>'insertion sort'!$M$8</c:f>
              <c:strCache>
                <c:ptCount val="1"/>
                <c:pt idx="0">
                  <c:v>przypisania dla mod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'insertion sort'!$N$2:$X$2</c:f>
              <c:numCache>
                <c:formatCode>General</c:formatCode>
                <c:ptCount val="11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</c:numCache>
            </c:numRef>
          </c:xVal>
          <c:yVal>
            <c:numRef>
              <c:f>'insertion sort'!$N$8:$X$8</c:f>
              <c:numCache>
                <c:formatCode>General</c:formatCode>
                <c:ptCount val="11"/>
                <c:pt idx="0">
                  <c:v>4</c:v>
                </c:pt>
                <c:pt idx="1">
                  <c:v>36</c:v>
                </c:pt>
                <c:pt idx="2">
                  <c:v>115</c:v>
                </c:pt>
                <c:pt idx="3">
                  <c:v>2039</c:v>
                </c:pt>
                <c:pt idx="4">
                  <c:v>44838</c:v>
                </c:pt>
                <c:pt idx="5">
                  <c:v>16719931.699999999</c:v>
                </c:pt>
                <c:pt idx="6">
                  <c:v>416611209.10000002</c:v>
                </c:pt>
                <c:pt idx="7">
                  <c:v>1665381296.8</c:v>
                </c:pt>
                <c:pt idx="8">
                  <c:v>41674167077.666664</c:v>
                </c:pt>
                <c:pt idx="9">
                  <c:v>166669348858</c:v>
                </c:pt>
                <c:pt idx="10">
                  <c:v>4166733721450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A8-44D0-972E-55C6C2025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086688"/>
        <c:axId val="782089088"/>
      </c:scatterChart>
      <c:valAx>
        <c:axId val="78208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82089088"/>
        <c:crosses val="autoZero"/>
        <c:crossBetween val="midCat"/>
      </c:valAx>
      <c:valAx>
        <c:axId val="7820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porównań, przypisań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8208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czasu trwania algorytmu dla merge sort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'merge sort'!$N$4</c:f>
              <c:strCache>
                <c:ptCount val="1"/>
                <c:pt idx="0">
                  <c:v>czas dla bez mod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'merge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'merge sort'!$O$4:$AA$4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194</c:v>
                </c:pt>
                <c:pt idx="5">
                  <c:v>2805.7</c:v>
                </c:pt>
                <c:pt idx="6">
                  <c:v>15930.3</c:v>
                </c:pt>
                <c:pt idx="7">
                  <c:v>33373.300000000003</c:v>
                </c:pt>
                <c:pt idx="8">
                  <c:v>172368.2</c:v>
                </c:pt>
                <c:pt idx="9">
                  <c:v>353477.6</c:v>
                </c:pt>
                <c:pt idx="10">
                  <c:v>1803179.3</c:v>
                </c:pt>
                <c:pt idx="11">
                  <c:v>3665871.3</c:v>
                </c:pt>
                <c:pt idx="12">
                  <c:v>39269367.899999999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60-4B06-A05B-A2436ECA2401}"/>
            </c:ext>
          </c:extLst>
        </c:ser>
        <c:ser>
          <c:idx val="1"/>
          <c:order val="1"/>
          <c:tx>
            <c:strRef>
              <c:f>'merge sort'!$N$7</c:f>
              <c:strCache>
                <c:ptCount val="1"/>
                <c:pt idx="0">
                  <c:v>czas dla mod 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'merge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'merge sort'!$O$7:$AA$7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1538.3</c:v>
                </c:pt>
                <c:pt idx="6">
                  <c:v>7883.9</c:v>
                </c:pt>
                <c:pt idx="7">
                  <c:v>15721.6</c:v>
                </c:pt>
                <c:pt idx="8">
                  <c:v>88312.6</c:v>
                </c:pt>
                <c:pt idx="9">
                  <c:v>303927.90000000002</c:v>
                </c:pt>
                <c:pt idx="10">
                  <c:v>1476143.5</c:v>
                </c:pt>
                <c:pt idx="11">
                  <c:v>3432368.5</c:v>
                </c:pt>
                <c:pt idx="12">
                  <c:v>36341896.100000001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60-4B06-A05B-A2436ECA2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349712"/>
        <c:axId val="1299350192"/>
      </c:scatterChart>
      <c:valAx>
        <c:axId val="129934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9350192"/>
        <c:crosses val="autoZero"/>
        <c:crossBetween val="midCat"/>
      </c:valAx>
      <c:valAx>
        <c:axId val="129935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934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liczby porównań i przypisań dla merge sort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'merge sort'!$N$5</c:f>
              <c:strCache>
                <c:ptCount val="1"/>
                <c:pt idx="0">
                  <c:v>porownania dla bez mod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'merge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'merge sort'!$O$5:$AA$5</c:f>
              <c:numCache>
                <c:formatCode>General</c:formatCode>
                <c:ptCount val="13"/>
                <c:pt idx="0">
                  <c:v>2</c:v>
                </c:pt>
                <c:pt idx="1">
                  <c:v>34</c:v>
                </c:pt>
                <c:pt idx="2">
                  <c:v>88</c:v>
                </c:pt>
                <c:pt idx="3">
                  <c:v>342</c:v>
                </c:pt>
                <c:pt idx="4">
                  <c:v>4488</c:v>
                </c:pt>
                <c:pt idx="5">
                  <c:v>133616</c:v>
                </c:pt>
                <c:pt idx="6">
                  <c:v>784464</c:v>
                </c:pt>
                <c:pt idx="7">
                  <c:v>1668928</c:v>
                </c:pt>
                <c:pt idx="8">
                  <c:v>9475712</c:v>
                </c:pt>
                <c:pt idx="9">
                  <c:v>19951424</c:v>
                </c:pt>
                <c:pt idx="10">
                  <c:v>111611392</c:v>
                </c:pt>
                <c:pt idx="11">
                  <c:v>233222784</c:v>
                </c:pt>
                <c:pt idx="12">
                  <c:v>2665782272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32-4297-82BB-1BD58B9A4E8E}"/>
            </c:ext>
          </c:extLst>
        </c:ser>
        <c:ser>
          <c:idx val="1"/>
          <c:order val="1"/>
          <c:tx>
            <c:strRef>
              <c:f>'merge sort'!$N$6</c:f>
              <c:strCache>
                <c:ptCount val="1"/>
                <c:pt idx="0">
                  <c:v>przypisania dla bez mod</c:v>
                </c:pt>
              </c:strCache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'merge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'merge sort'!$O$6:$AA$6</c:f>
              <c:numCache>
                <c:formatCode>General</c:formatCode>
                <c:ptCount val="13"/>
                <c:pt idx="0">
                  <c:v>6</c:v>
                </c:pt>
                <c:pt idx="1">
                  <c:v>86</c:v>
                </c:pt>
                <c:pt idx="2">
                  <c:v>214</c:v>
                </c:pt>
                <c:pt idx="3">
                  <c:v>798</c:v>
                </c:pt>
                <c:pt idx="4">
                  <c:v>9974</c:v>
                </c:pt>
                <c:pt idx="5">
                  <c:v>287230</c:v>
                </c:pt>
                <c:pt idx="6">
                  <c:v>1668926</c:v>
                </c:pt>
                <c:pt idx="7">
                  <c:v>3537854</c:v>
                </c:pt>
                <c:pt idx="8">
                  <c:v>19951422</c:v>
                </c:pt>
                <c:pt idx="9">
                  <c:v>41902846</c:v>
                </c:pt>
                <c:pt idx="10">
                  <c:v>233222782</c:v>
                </c:pt>
                <c:pt idx="11">
                  <c:v>486445566</c:v>
                </c:pt>
                <c:pt idx="12">
                  <c:v>5531564542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32-4297-82BB-1BD58B9A4E8E}"/>
            </c:ext>
          </c:extLst>
        </c:ser>
        <c:ser>
          <c:idx val="2"/>
          <c:order val="2"/>
          <c:tx>
            <c:strRef>
              <c:f>'merge sort'!$N$8</c:f>
              <c:strCache>
                <c:ptCount val="1"/>
                <c:pt idx="0">
                  <c:v>porownania dla mod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'merge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'merge sort'!$O$8:$AA$8</c:f>
              <c:numCache>
                <c:formatCode>General</c:formatCode>
                <c:ptCount val="13"/>
                <c:pt idx="0">
                  <c:v>6</c:v>
                </c:pt>
                <c:pt idx="1">
                  <c:v>66</c:v>
                </c:pt>
                <c:pt idx="2">
                  <c:v>186</c:v>
                </c:pt>
                <c:pt idx="3">
                  <c:v>1290</c:v>
                </c:pt>
                <c:pt idx="4">
                  <c:v>9030</c:v>
                </c:pt>
                <c:pt idx="5">
                  <c:v>257352</c:v>
                </c:pt>
                <c:pt idx="6">
                  <c:v>1511574</c:v>
                </c:pt>
                <c:pt idx="7">
                  <c:v>3187320</c:v>
                </c:pt>
                <c:pt idx="8">
                  <c:v>18268242</c:v>
                </c:pt>
                <c:pt idx="9">
                  <c:v>38432328</c:v>
                </c:pt>
                <c:pt idx="10">
                  <c:v>211300176</c:v>
                </c:pt>
                <c:pt idx="11">
                  <c:v>450820278</c:v>
                </c:pt>
                <c:pt idx="12">
                  <c:v>5119616562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32-4297-82BB-1BD58B9A4E8E}"/>
            </c:ext>
          </c:extLst>
        </c:ser>
        <c:ser>
          <c:idx val="3"/>
          <c:order val="3"/>
          <c:tx>
            <c:strRef>
              <c:f>'merge sort'!$N$9</c:f>
              <c:strCache>
                <c:ptCount val="1"/>
                <c:pt idx="0">
                  <c:v>przypisania dla mod</c:v>
                </c:pt>
              </c:strCache>
            </c:strRef>
          </c:tx>
          <c:spPr>
            <a:ln w="19050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'merge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'merge sort'!$O$9:$AA$9</c:f>
              <c:numCache>
                <c:formatCode>General</c:formatCode>
                <c:ptCount val="13"/>
                <c:pt idx="0">
                  <c:v>7</c:v>
                </c:pt>
                <c:pt idx="1">
                  <c:v>59</c:v>
                </c:pt>
                <c:pt idx="2">
                  <c:v>166</c:v>
                </c:pt>
                <c:pt idx="3">
                  <c:v>1013</c:v>
                </c:pt>
                <c:pt idx="4">
                  <c:v>7127</c:v>
                </c:pt>
                <c:pt idx="5">
                  <c:v>188443</c:v>
                </c:pt>
                <c:pt idx="6">
                  <c:v>1102075</c:v>
                </c:pt>
                <c:pt idx="7">
                  <c:v>2277919</c:v>
                </c:pt>
                <c:pt idx="8">
                  <c:v>13110109</c:v>
                </c:pt>
                <c:pt idx="9">
                  <c:v>27445363</c:v>
                </c:pt>
                <c:pt idx="10">
                  <c:v>148690319</c:v>
                </c:pt>
                <c:pt idx="11">
                  <c:v>322480350</c:v>
                </c:pt>
                <c:pt idx="12">
                  <c:v>3616596232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32-4297-82BB-1BD58B9A4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327775"/>
        <c:axId val="1570326335"/>
      </c:scatterChart>
      <c:valAx>
        <c:axId val="157032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0326335"/>
        <c:crosses val="autoZero"/>
        <c:crossBetween val="midCat"/>
      </c:valAx>
      <c:valAx>
        <c:axId val="157032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032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czasu trwania algorytmu dla heap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'heap sort'!$N$4</c:f>
              <c:strCache>
                <c:ptCount val="1"/>
                <c:pt idx="0">
                  <c:v>czas dla bez mod 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'heap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'heap sort'!$O$4:$AA$4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1061</c:v>
                </c:pt>
                <c:pt idx="5">
                  <c:v>3325.5</c:v>
                </c:pt>
                <c:pt idx="6">
                  <c:v>18269.5</c:v>
                </c:pt>
                <c:pt idx="7">
                  <c:v>38558.699999999997</c:v>
                </c:pt>
                <c:pt idx="8">
                  <c:v>231860.1</c:v>
                </c:pt>
                <c:pt idx="9">
                  <c:v>516185.2</c:v>
                </c:pt>
                <c:pt idx="10">
                  <c:v>3340059.8</c:v>
                </c:pt>
                <c:pt idx="11">
                  <c:v>7531984</c:v>
                </c:pt>
                <c:pt idx="12">
                  <c:v>114025526.3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87-4ED1-9978-D08A35E51675}"/>
            </c:ext>
          </c:extLst>
        </c:ser>
        <c:ser>
          <c:idx val="1"/>
          <c:order val="1"/>
          <c:tx>
            <c:strRef>
              <c:f>'heap sort'!$N$7</c:f>
              <c:strCache>
                <c:ptCount val="1"/>
                <c:pt idx="0">
                  <c:v>czas dla mod 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'heap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'heap sort'!$O$7:$AA$7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994</c:v>
                </c:pt>
                <c:pt idx="5">
                  <c:v>2696.1</c:v>
                </c:pt>
                <c:pt idx="6">
                  <c:v>14650.2</c:v>
                </c:pt>
                <c:pt idx="7">
                  <c:v>31605.5</c:v>
                </c:pt>
                <c:pt idx="8">
                  <c:v>196812.79999999999</c:v>
                </c:pt>
                <c:pt idx="9">
                  <c:v>429462.1</c:v>
                </c:pt>
                <c:pt idx="10">
                  <c:v>3299513.8</c:v>
                </c:pt>
                <c:pt idx="11">
                  <c:v>7040680.9000000004</c:v>
                </c:pt>
                <c:pt idx="12">
                  <c:v>109078766.40000001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87-4ED1-9978-D08A35E51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541999"/>
        <c:axId val="697067423"/>
      </c:scatterChart>
      <c:valAx>
        <c:axId val="69654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7067423"/>
        <c:crosses val="autoZero"/>
        <c:crossBetween val="midCat"/>
      </c:valAx>
      <c:valAx>
        <c:axId val="69706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6541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liczby porównań i przypisań dla heap sort</a:t>
            </a:r>
            <a:endParaRPr lang="pl-PL"/>
          </a:p>
        </c:rich>
      </c:tx>
      <c:layout>
        <c:manualLayout>
          <c:xMode val="edge"/>
          <c:yMode val="edge"/>
          <c:x val="0.17446055759337284"/>
          <c:y val="1.4586011383405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'heap sort'!$N$5</c:f>
              <c:strCache>
                <c:ptCount val="1"/>
                <c:pt idx="0">
                  <c:v>porownania dla bez mod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'heap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'heap sort'!$O$5:$AA$5</c:f>
              <c:numCache>
                <c:formatCode>General</c:formatCode>
                <c:ptCount val="13"/>
                <c:pt idx="0">
                  <c:v>10</c:v>
                </c:pt>
                <c:pt idx="1">
                  <c:v>136</c:v>
                </c:pt>
                <c:pt idx="2">
                  <c:v>370</c:v>
                </c:pt>
                <c:pt idx="3">
                  <c:v>1473</c:v>
                </c:pt>
                <c:pt idx="4">
                  <c:v>20278</c:v>
                </c:pt>
                <c:pt idx="5">
                  <c:v>622879</c:v>
                </c:pt>
                <c:pt idx="6">
                  <c:v>3697633.6</c:v>
                </c:pt>
                <c:pt idx="7">
                  <c:v>7894417.2999999998</c:v>
                </c:pt>
                <c:pt idx="8">
                  <c:v>45219114.799999997</c:v>
                </c:pt>
                <c:pt idx="9">
                  <c:v>95437936.200000003</c:v>
                </c:pt>
                <c:pt idx="10">
                  <c:v>535563740.60000002</c:v>
                </c:pt>
                <c:pt idx="11">
                  <c:v>1121128777.9000001</c:v>
                </c:pt>
                <c:pt idx="12">
                  <c:v>12877371522.6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FE-4269-B5B9-2CD46E0690E8}"/>
            </c:ext>
          </c:extLst>
        </c:ser>
        <c:ser>
          <c:idx val="1"/>
          <c:order val="1"/>
          <c:tx>
            <c:strRef>
              <c:f>'heap sort'!$N$6</c:f>
              <c:strCache>
                <c:ptCount val="1"/>
                <c:pt idx="0">
                  <c:v>przypisania dla bez mod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'heap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'heap sort'!$O$6:$AA$6</c:f>
              <c:numCache>
                <c:formatCode>General</c:formatCode>
                <c:ptCount val="13"/>
                <c:pt idx="0">
                  <c:v>6</c:v>
                </c:pt>
                <c:pt idx="1">
                  <c:v>84</c:v>
                </c:pt>
                <c:pt idx="2">
                  <c:v>225</c:v>
                </c:pt>
                <c:pt idx="3">
                  <c:v>882</c:v>
                </c:pt>
                <c:pt idx="4">
                  <c:v>12099</c:v>
                </c:pt>
                <c:pt idx="5">
                  <c:v>372543.3</c:v>
                </c:pt>
                <c:pt idx="6">
                  <c:v>2212720.5</c:v>
                </c:pt>
                <c:pt idx="7">
                  <c:v>4724820.9000000004</c:v>
                </c:pt>
                <c:pt idx="8">
                  <c:v>27071988.899999999</c:v>
                </c:pt>
                <c:pt idx="9">
                  <c:v>57144328.799999997</c:v>
                </c:pt>
                <c:pt idx="10">
                  <c:v>320744675.39999998</c:v>
                </c:pt>
                <c:pt idx="11">
                  <c:v>671490554.70000005</c:v>
                </c:pt>
                <c:pt idx="12">
                  <c:v>7714561644.3000002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FE-4269-B5B9-2CD46E0690E8}"/>
            </c:ext>
          </c:extLst>
        </c:ser>
        <c:ser>
          <c:idx val="2"/>
          <c:order val="2"/>
          <c:tx>
            <c:strRef>
              <c:f>'heap sort'!$N$8</c:f>
              <c:strCache>
                <c:ptCount val="1"/>
                <c:pt idx="0">
                  <c:v>porownania dla mod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'heap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'heap sort'!$O$8:$AA$8</c:f>
              <c:numCache>
                <c:formatCode>General</c:formatCode>
                <c:ptCount val="13"/>
                <c:pt idx="0">
                  <c:v>17</c:v>
                </c:pt>
                <c:pt idx="1">
                  <c:v>160</c:v>
                </c:pt>
                <c:pt idx="2">
                  <c:v>365</c:v>
                </c:pt>
                <c:pt idx="3">
                  <c:v>2827</c:v>
                </c:pt>
                <c:pt idx="4">
                  <c:v>19382</c:v>
                </c:pt>
                <c:pt idx="5">
                  <c:v>573968.30000000005</c:v>
                </c:pt>
                <c:pt idx="6">
                  <c:v>3396621.7</c:v>
                </c:pt>
                <c:pt idx="7">
                  <c:v>7212624</c:v>
                </c:pt>
                <c:pt idx="8">
                  <c:v>41305620.200000003</c:v>
                </c:pt>
                <c:pt idx="9">
                  <c:v>86873845.5</c:v>
                </c:pt>
                <c:pt idx="10">
                  <c:v>486323267.60000002</c:v>
                </c:pt>
                <c:pt idx="11">
                  <c:v>1016110796.4</c:v>
                </c:pt>
                <c:pt idx="12">
                  <c:v>11633280832.700001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FE-4269-B5B9-2CD46E0690E8}"/>
            </c:ext>
          </c:extLst>
        </c:ser>
        <c:ser>
          <c:idx val="3"/>
          <c:order val="3"/>
          <c:tx>
            <c:strRef>
              <c:f>'heap sort'!$N$9</c:f>
              <c:strCache>
                <c:ptCount val="1"/>
                <c:pt idx="0">
                  <c:v>przypisania dla mod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'heap sort'!$O$3:$AA$3</c:f>
              <c:numCache>
                <c:formatCode>General</c:formatCode>
                <c:ptCount val="13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100</c:v>
                </c:pt>
                <c:pt idx="4">
                  <c:v>500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  <c:pt idx="10">
                  <c:v>5000000</c:v>
                </c:pt>
                <c:pt idx="11">
                  <c:v>10000000</c:v>
                </c:pt>
                <c:pt idx="12">
                  <c:v>100000000</c:v>
                </c:pt>
              </c:numCache>
            </c:numRef>
          </c:xVal>
          <c:yVal>
            <c:numRef>
              <c:f>'heap sort'!$O$9:$AA$9</c:f>
              <c:numCache>
                <c:formatCode>General</c:formatCode>
                <c:ptCount val="13"/>
                <c:pt idx="0">
                  <c:v>9</c:v>
                </c:pt>
                <c:pt idx="1">
                  <c:v>78</c:v>
                </c:pt>
                <c:pt idx="2">
                  <c:v>165</c:v>
                </c:pt>
                <c:pt idx="3">
                  <c:v>1260</c:v>
                </c:pt>
                <c:pt idx="4">
                  <c:v>8550</c:v>
                </c:pt>
                <c:pt idx="5">
                  <c:v>250541.1</c:v>
                </c:pt>
                <c:pt idx="6">
                  <c:v>1478409.9</c:v>
                </c:pt>
                <c:pt idx="7">
                  <c:v>3136524</c:v>
                </c:pt>
                <c:pt idx="8">
                  <c:v>17929671.899999999</c:v>
                </c:pt>
                <c:pt idx="9">
                  <c:v>37685945.700000003</c:v>
                </c:pt>
                <c:pt idx="10">
                  <c:v>210695193</c:v>
                </c:pt>
                <c:pt idx="11">
                  <c:v>440019852</c:v>
                </c:pt>
                <c:pt idx="12">
                  <c:v>5031121073.1000004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FE-4269-B5B9-2CD46E069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047615"/>
        <c:axId val="934044735"/>
      </c:scatterChart>
      <c:valAx>
        <c:axId val="93404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34044735"/>
        <c:crosses val="autoZero"/>
        <c:crossBetween val="midCat"/>
      </c:valAx>
      <c:valAx>
        <c:axId val="9340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3404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365414</xdr:colOff>
      <xdr:row>32</xdr:row>
      <xdr:rowOff>125433</xdr:rowOff>
    </xdr:from>
    <xdr:to>
      <xdr:col>22</xdr:col>
      <xdr:colOff>108363</xdr:colOff>
      <xdr:row>55</xdr:row>
      <xdr:rowOff>165018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B81990F3-723C-DF8B-3EC9-FA74583C7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75793</xdr:colOff>
      <xdr:row>8</xdr:row>
      <xdr:rowOff>165439</xdr:rowOff>
    </xdr:from>
    <xdr:to>
      <xdr:col>19</xdr:col>
      <xdr:colOff>616529</xdr:colOff>
      <xdr:row>32</xdr:row>
      <xdr:rowOff>103907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DA1D34EF-117F-9A23-B7E5-B7E29837C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70757</xdr:colOff>
      <xdr:row>10</xdr:row>
      <xdr:rowOff>59870</xdr:rowOff>
    </xdr:from>
    <xdr:to>
      <xdr:col>22</xdr:col>
      <xdr:colOff>54428</xdr:colOff>
      <xdr:row>30</xdr:row>
      <xdr:rowOff>163286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74B03C8F-C161-1936-49E3-7FB4A4830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48985</xdr:colOff>
      <xdr:row>31</xdr:row>
      <xdr:rowOff>59872</xdr:rowOff>
    </xdr:from>
    <xdr:to>
      <xdr:col>22</xdr:col>
      <xdr:colOff>76199</xdr:colOff>
      <xdr:row>50</xdr:row>
      <xdr:rowOff>152400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5BD05123-D11D-632A-A0E8-7971CFC1D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17928</xdr:colOff>
      <xdr:row>10</xdr:row>
      <xdr:rowOff>40341</xdr:rowOff>
    </xdr:from>
    <xdr:to>
      <xdr:col>19</xdr:col>
      <xdr:colOff>143435</xdr:colOff>
      <xdr:row>27</xdr:row>
      <xdr:rowOff>116541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EED84F7-9442-F36F-3E27-79562633D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564775</xdr:colOff>
      <xdr:row>28</xdr:row>
      <xdr:rowOff>125506</xdr:rowOff>
    </xdr:from>
    <xdr:to>
      <xdr:col>19</xdr:col>
      <xdr:colOff>152400</xdr:colOff>
      <xdr:row>47</xdr:row>
      <xdr:rowOff>89645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51D7336-89EA-131B-DCCB-A848DF0C3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ksandra Cichecka (287362)" id="{8FCA8887-9E66-43EE-8FE6-0D2C0C741E83}" userId="S::287362@student.pwr.edu.pl::00d28c89-bcfe-4ac8-a00c-4cac2626f8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0" dT="2025-10-27T11:55:02.94" personId="{8FCA8887-9E66-43EE-8FE6-0D2C0C741E83}" id="{4B744991-7D04-459F-9123-5D0147A86257}">
    <text xml:space="preserve">okolo 25 razy wieksze od 1mln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7" dT="2025-10-25T21:15:27.85" personId="{8FCA8887-9E66-43EE-8FE6-0D2C0C741E83}" id="{E325979E-7860-48F4-86D0-7B7E9A9FFEC0}">
    <text xml:space="preserve">tutaj trzeba bylo juz wyjac deklaracje tablicy i wielkosci jej z maina i dac jako zmienna globalna </text>
  </threadedComment>
  <threadedComment ref="A33" dT="2025-10-25T22:18:41.26" personId="{8FCA8887-9E66-43EE-8FE6-0D2C0C741E83}" id="{A436C39D-6334-4399-81BB-8A095060CB66}">
    <text xml:space="preserve">okolo 25* dluzszy od 1mln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7" dT="2025-10-26T10:46:55.20" personId="{8FCA8887-9E66-43EE-8FE6-0D2C0C741E83}" id="{C1FB176B-9803-4A95-8D76-D4983539A3B9}">
    <text xml:space="preserve">tutja trzeba na dynamiczna alokacje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7" dT="2025-10-26T12:11:39.18" personId="{8FCA8887-9E66-43EE-8FE6-0D2C0C741E83}" id="{F55BB865-99F5-4F0E-AEEF-571671E2C0B0}">
    <text>dynamiczna alokacja odtad
stack overflow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6D59-670F-4E25-BDAF-EAF4552A68D8}">
  <dimension ref="A1:X56"/>
  <sheetViews>
    <sheetView topLeftCell="A13" zoomScale="55" zoomScaleNormal="55" workbookViewId="0">
      <selection activeCell="M7" activeCellId="2" sqref="N2:X2 M4:X5 M7:X8"/>
    </sheetView>
  </sheetViews>
  <sheetFormatPr defaultRowHeight="14.4" x14ac:dyDescent="0.3"/>
  <cols>
    <col min="1" max="1" width="15.44140625" bestFit="1" customWidth="1"/>
    <col min="2" max="2" width="16.33203125" bestFit="1" customWidth="1"/>
    <col min="3" max="3" width="14.33203125" bestFit="1" customWidth="1"/>
    <col min="4" max="4" width="13.88671875" bestFit="1" customWidth="1"/>
    <col min="5" max="5" width="14.88671875" bestFit="1" customWidth="1"/>
    <col min="6" max="6" width="22.5546875" customWidth="1"/>
    <col min="7" max="7" width="20.33203125" customWidth="1"/>
    <col min="8" max="8" width="10.109375" bestFit="1" customWidth="1"/>
    <col min="9" max="9" width="11.6640625" bestFit="1" customWidth="1"/>
    <col min="13" max="13" width="25.21875" customWidth="1"/>
    <col min="14" max="14" width="10.44140625" bestFit="1" customWidth="1"/>
    <col min="15" max="16" width="13.109375" bestFit="1" customWidth="1"/>
    <col min="17" max="18" width="14.21875" bestFit="1" customWidth="1"/>
    <col min="19" max="19" width="11.44140625" bestFit="1" customWidth="1"/>
    <col min="20" max="20" width="12.44140625" customWidth="1"/>
    <col min="21" max="21" width="11.44140625" customWidth="1"/>
    <col min="22" max="22" width="12.44140625" customWidth="1"/>
    <col min="23" max="24" width="12.44140625" bestFit="1" customWidth="1"/>
  </cols>
  <sheetData>
    <row r="1" spans="1:24" x14ac:dyDescent="0.3">
      <c r="A1" s="1" t="s">
        <v>2</v>
      </c>
      <c r="B1" s="1" t="s">
        <v>30</v>
      </c>
      <c r="C1" s="1"/>
      <c r="D1" s="1"/>
      <c r="E1" s="1"/>
      <c r="F1" s="1"/>
      <c r="G1" s="1"/>
      <c r="H1" s="1"/>
      <c r="I1" s="1"/>
      <c r="J1" s="1"/>
      <c r="K1" s="1"/>
      <c r="M1" t="s">
        <v>42</v>
      </c>
    </row>
    <row r="2" spans="1:24" x14ac:dyDescent="0.3">
      <c r="A2" t="s">
        <v>3</v>
      </c>
      <c r="B2" s="4" t="s">
        <v>4</v>
      </c>
      <c r="C2" t="s">
        <v>5</v>
      </c>
      <c r="D2" t="s">
        <v>15</v>
      </c>
      <c r="E2" t="s">
        <v>6</v>
      </c>
      <c r="F2" s="4" t="s">
        <v>7</v>
      </c>
      <c r="G2" s="4" t="s">
        <v>8</v>
      </c>
      <c r="H2" t="s">
        <v>9</v>
      </c>
      <c r="I2" t="s">
        <v>10</v>
      </c>
      <c r="J2" s="1"/>
      <c r="K2" s="1"/>
      <c r="N2">
        <v>2</v>
      </c>
      <c r="O2">
        <v>10</v>
      </c>
      <c r="P2">
        <v>20</v>
      </c>
      <c r="Q2">
        <v>100</v>
      </c>
      <c r="R2">
        <v>500</v>
      </c>
      <c r="S2">
        <v>10000</v>
      </c>
      <c r="T2">
        <v>50000</v>
      </c>
      <c r="U2">
        <v>100000</v>
      </c>
      <c r="V2">
        <v>500000</v>
      </c>
      <c r="W2">
        <v>1000000</v>
      </c>
      <c r="X2" s="3">
        <v>5000000</v>
      </c>
    </row>
    <row r="3" spans="1:24" x14ac:dyDescent="0.3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1"/>
      <c r="K3" s="1"/>
      <c r="M3" s="5" t="s">
        <v>36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112763.1</v>
      </c>
      <c r="T3" s="5">
        <v>3141361.2</v>
      </c>
      <c r="U3" s="5">
        <v>11759362.9</v>
      </c>
      <c r="V3" s="5">
        <v>309738688.33333331</v>
      </c>
      <c r="W3" s="5">
        <v>1135560311</v>
      </c>
      <c r="X3" s="5">
        <f>25*W3</f>
        <v>28389007775</v>
      </c>
    </row>
    <row r="4" spans="1:24" x14ac:dyDescent="0.3">
      <c r="A4" t="s">
        <v>0</v>
      </c>
      <c r="B4">
        <v>0</v>
      </c>
      <c r="C4">
        <v>1</v>
      </c>
      <c r="D4">
        <v>5</v>
      </c>
      <c r="E4">
        <v>5</v>
      </c>
      <c r="F4">
        <v>8</v>
      </c>
      <c r="G4">
        <v>9</v>
      </c>
      <c r="H4">
        <v>6</v>
      </c>
      <c r="I4">
        <v>7</v>
      </c>
      <c r="J4" s="1"/>
      <c r="K4" s="1"/>
      <c r="M4" s="5" t="s">
        <v>37</v>
      </c>
      <c r="N4" s="5">
        <v>1</v>
      </c>
      <c r="O4" s="5">
        <v>28</v>
      </c>
      <c r="P4" s="5">
        <v>104</v>
      </c>
      <c r="Q4" s="5">
        <v>2781</v>
      </c>
      <c r="R4" s="5">
        <v>66250</v>
      </c>
      <c r="S4" s="5">
        <v>25007124</v>
      </c>
      <c r="T4" s="5">
        <v>625339843.5</v>
      </c>
      <c r="U4" s="5">
        <v>2498319056.1999998</v>
      </c>
      <c r="V4" s="5">
        <v>62532073464</v>
      </c>
      <c r="W4" s="5">
        <v>249983358361</v>
      </c>
      <c r="X4" s="5">
        <f t="shared" ref="X4:X5" si="0">25*W4</f>
        <v>6249583959025</v>
      </c>
    </row>
    <row r="5" spans="1:24" x14ac:dyDescent="0.3">
      <c r="A5" t="s">
        <v>1</v>
      </c>
      <c r="B5">
        <v>0</v>
      </c>
      <c r="C5">
        <v>4</v>
      </c>
      <c r="D5">
        <v>10</v>
      </c>
      <c r="E5">
        <v>10</v>
      </c>
      <c r="F5">
        <v>22</v>
      </c>
      <c r="G5">
        <v>18</v>
      </c>
      <c r="H5">
        <v>18</v>
      </c>
      <c r="I5">
        <v>12</v>
      </c>
      <c r="J5" s="1"/>
      <c r="K5" s="1"/>
      <c r="M5" s="5" t="s">
        <v>38</v>
      </c>
      <c r="N5" s="5">
        <v>0</v>
      </c>
      <c r="O5" s="5">
        <v>57</v>
      </c>
      <c r="P5" s="5">
        <v>270</v>
      </c>
      <c r="Q5" s="5">
        <v>8055</v>
      </c>
      <c r="R5" s="5">
        <v>197265</v>
      </c>
      <c r="S5" s="5">
        <v>74991401.700000003</v>
      </c>
      <c r="T5" s="5">
        <v>1875869558.4000001</v>
      </c>
      <c r="U5" s="5">
        <v>7494657199.5</v>
      </c>
      <c r="V5" s="5">
        <v>187594720429</v>
      </c>
      <c r="W5" s="5">
        <v>749947075113</v>
      </c>
      <c r="X5" s="5">
        <f t="shared" si="0"/>
        <v>18748676877825</v>
      </c>
    </row>
    <row r="6" spans="1:24" x14ac:dyDescent="0.3">
      <c r="J6" s="1"/>
      <c r="K6" s="1"/>
      <c r="M6" s="6" t="s">
        <v>39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54362.9</v>
      </c>
      <c r="T6" s="6">
        <v>1342032.8</v>
      </c>
      <c r="U6" s="6">
        <v>5213683.5</v>
      </c>
      <c r="V6" s="6">
        <v>139362518.66666666</v>
      </c>
      <c r="W6" s="6">
        <v>529862772</v>
      </c>
      <c r="X6" s="6">
        <f>25*W6</f>
        <v>13246569300</v>
      </c>
    </row>
    <row r="7" spans="1:24" x14ac:dyDescent="0.3">
      <c r="A7" t="s">
        <v>11</v>
      </c>
      <c r="B7" s="4" t="s">
        <v>12</v>
      </c>
      <c r="C7" t="s">
        <v>6</v>
      </c>
      <c r="D7" s="4" t="s">
        <v>7</v>
      </c>
      <c r="E7" t="s">
        <v>14</v>
      </c>
      <c r="F7" s="4" t="s">
        <v>9</v>
      </c>
      <c r="G7" s="4" t="s">
        <v>10</v>
      </c>
      <c r="J7" s="1"/>
      <c r="K7" s="1"/>
      <c r="M7" s="6" t="s">
        <v>40</v>
      </c>
      <c r="N7" s="6">
        <v>1</v>
      </c>
      <c r="O7" s="6">
        <v>23</v>
      </c>
      <c r="P7" s="6">
        <v>81</v>
      </c>
      <c r="Q7" s="6">
        <v>1901</v>
      </c>
      <c r="R7" s="6">
        <v>44184</v>
      </c>
      <c r="S7" s="6">
        <v>16707445.800000001</v>
      </c>
      <c r="T7" s="6">
        <v>416548668.10000002</v>
      </c>
      <c r="U7" s="6">
        <v>1665256197</v>
      </c>
      <c r="V7" s="6">
        <v>41673541960.333336</v>
      </c>
      <c r="W7" s="6">
        <v>166668099699</v>
      </c>
      <c r="X7" s="6">
        <f t="shared" ref="X7:X8" si="1">25*W7</f>
        <v>4166702492475</v>
      </c>
    </row>
    <row r="8" spans="1:24" x14ac:dyDescent="0.3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J8" s="1"/>
      <c r="K8" s="1"/>
      <c r="M8" s="6" t="s">
        <v>41</v>
      </c>
      <c r="N8" s="6">
        <v>4</v>
      </c>
      <c r="O8" s="6">
        <v>36</v>
      </c>
      <c r="P8" s="6">
        <v>115</v>
      </c>
      <c r="Q8" s="6">
        <v>2039</v>
      </c>
      <c r="R8" s="6">
        <v>44838</v>
      </c>
      <c r="S8" s="6">
        <v>16719931.699999999</v>
      </c>
      <c r="T8" s="6">
        <v>416611209.10000002</v>
      </c>
      <c r="U8" s="6">
        <v>1665381296.8</v>
      </c>
      <c r="V8" s="6">
        <v>41674167077.666664</v>
      </c>
      <c r="W8" s="6">
        <v>166669348858</v>
      </c>
      <c r="X8" s="6">
        <f t="shared" si="1"/>
        <v>4166733721450</v>
      </c>
    </row>
    <row r="9" spans="1:24" x14ac:dyDescent="0.3">
      <c r="A9" t="s">
        <v>0</v>
      </c>
      <c r="B9">
        <v>510</v>
      </c>
      <c r="C9">
        <v>73</v>
      </c>
      <c r="D9">
        <v>625</v>
      </c>
      <c r="E9">
        <v>73</v>
      </c>
      <c r="F9">
        <v>458</v>
      </c>
      <c r="G9">
        <v>491</v>
      </c>
      <c r="J9" s="1"/>
      <c r="K9" s="1"/>
    </row>
    <row r="10" spans="1:24" x14ac:dyDescent="0.3">
      <c r="A10" t="s">
        <v>1</v>
      </c>
      <c r="B10">
        <v>553</v>
      </c>
      <c r="C10">
        <v>100</v>
      </c>
      <c r="D10">
        <v>775</v>
      </c>
      <c r="E10">
        <v>100</v>
      </c>
      <c r="F10">
        <v>518</v>
      </c>
      <c r="G10">
        <v>572</v>
      </c>
      <c r="J10" s="1"/>
      <c r="K10" s="1"/>
    </row>
    <row r="11" spans="1:24" x14ac:dyDescent="0.3">
      <c r="J11" s="1"/>
      <c r="K11" s="1"/>
    </row>
    <row r="12" spans="1:24" x14ac:dyDescent="0.3">
      <c r="J12" s="1"/>
      <c r="K12" s="1"/>
    </row>
    <row r="13" spans="1:24" x14ac:dyDescent="0.3">
      <c r="A13" t="s">
        <v>13</v>
      </c>
      <c r="B13" s="4" t="s">
        <v>12</v>
      </c>
      <c r="C13" t="s">
        <v>6</v>
      </c>
      <c r="D13" s="4" t="s">
        <v>7</v>
      </c>
      <c r="E13" t="s">
        <v>14</v>
      </c>
      <c r="F13" t="s">
        <v>16</v>
      </c>
      <c r="J13" s="1"/>
      <c r="K13" s="1"/>
    </row>
    <row r="14" spans="1:24" x14ac:dyDescent="0.3">
      <c r="A14" t="s">
        <v>27</v>
      </c>
      <c r="B14">
        <v>1001</v>
      </c>
      <c r="C14">
        <v>0</v>
      </c>
      <c r="D14">
        <v>997</v>
      </c>
      <c r="E14">
        <v>0</v>
      </c>
      <c r="F14">
        <v>0</v>
      </c>
      <c r="J14" s="1"/>
      <c r="K14" s="1"/>
    </row>
    <row r="15" spans="1:24" x14ac:dyDescent="0.3">
      <c r="A15" t="s">
        <v>0</v>
      </c>
      <c r="B15">
        <v>170678</v>
      </c>
      <c r="C15">
        <v>1498</v>
      </c>
      <c r="D15">
        <v>250000</v>
      </c>
      <c r="E15">
        <v>1498</v>
      </c>
      <c r="F15">
        <v>1498</v>
      </c>
      <c r="J15" s="1"/>
      <c r="K15" s="1"/>
    </row>
    <row r="16" spans="1:24" x14ac:dyDescent="0.3">
      <c r="A16" t="s">
        <v>1</v>
      </c>
      <c r="B16">
        <v>171968</v>
      </c>
      <c r="C16">
        <v>2000</v>
      </c>
      <c r="D16">
        <v>253000</v>
      </c>
      <c r="E16">
        <v>2000</v>
      </c>
      <c r="F16">
        <v>2003</v>
      </c>
      <c r="J16" s="1"/>
      <c r="K16" s="1"/>
    </row>
    <row r="17" spans="1:11" x14ac:dyDescent="0.3">
      <c r="J17" s="1"/>
      <c r="K17" s="1"/>
    </row>
    <row r="18" spans="1:11" x14ac:dyDescent="0.3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J18" s="1"/>
      <c r="K18" s="1"/>
    </row>
    <row r="19" spans="1:11" x14ac:dyDescent="0.3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J19" s="1"/>
      <c r="K19" s="1"/>
    </row>
    <row r="20" spans="1:11" x14ac:dyDescent="0.3">
      <c r="A20" t="s">
        <v>0</v>
      </c>
      <c r="B20">
        <v>1</v>
      </c>
      <c r="C20">
        <v>23</v>
      </c>
      <c r="D20">
        <v>81</v>
      </c>
      <c r="E20">
        <v>1901</v>
      </c>
      <c r="F20">
        <v>44184</v>
      </c>
      <c r="J20" s="1"/>
      <c r="K20" s="1"/>
    </row>
    <row r="21" spans="1:11" x14ac:dyDescent="0.3">
      <c r="A21" t="s">
        <v>1</v>
      </c>
      <c r="B21">
        <v>4</v>
      </c>
      <c r="C21">
        <v>36</v>
      </c>
      <c r="D21">
        <v>115</v>
      </c>
      <c r="E21">
        <v>2039</v>
      </c>
      <c r="F21">
        <v>44838</v>
      </c>
      <c r="J21" s="1"/>
      <c r="K21" s="1"/>
    </row>
    <row r="22" spans="1:11" x14ac:dyDescent="0.3">
      <c r="J22" s="1"/>
      <c r="K22" s="1"/>
    </row>
    <row r="23" spans="1:11" x14ac:dyDescent="0.3">
      <c r="A23" s="2" t="s">
        <v>33</v>
      </c>
      <c r="B23">
        <v>10000</v>
      </c>
      <c r="C23">
        <v>50000</v>
      </c>
      <c r="D23">
        <v>100000</v>
      </c>
      <c r="E23">
        <v>500000</v>
      </c>
      <c r="F23">
        <v>1000000</v>
      </c>
      <c r="G23" s="3">
        <v>5000000</v>
      </c>
      <c r="J23" s="1"/>
      <c r="K23" s="1"/>
    </row>
    <row r="24" spans="1:11" x14ac:dyDescent="0.3">
      <c r="A24" t="s">
        <v>27</v>
      </c>
      <c r="B24">
        <v>54362.9</v>
      </c>
      <c r="C24">
        <v>1342032.8</v>
      </c>
      <c r="D24">
        <v>5213683.5</v>
      </c>
      <c r="E24">
        <v>139362518.66666666</v>
      </c>
      <c r="F24">
        <v>529862772</v>
      </c>
      <c r="G24" s="3">
        <f>25*F24</f>
        <v>13246569300</v>
      </c>
      <c r="J24" s="1"/>
      <c r="K24" s="1"/>
    </row>
    <row r="25" spans="1:11" x14ac:dyDescent="0.3">
      <c r="A25" t="s">
        <v>0</v>
      </c>
      <c r="B25">
        <v>16707445.800000001</v>
      </c>
      <c r="C25">
        <v>416548668.10000002</v>
      </c>
      <c r="D25">
        <v>1665256197</v>
      </c>
      <c r="E25">
        <v>41673541960.333336</v>
      </c>
      <c r="F25">
        <v>166668099699</v>
      </c>
      <c r="G25" s="3">
        <f t="shared" ref="G25:G26" si="2">25*F25</f>
        <v>4166702492475</v>
      </c>
      <c r="J25" s="1"/>
      <c r="K25" s="1"/>
    </row>
    <row r="26" spans="1:11" x14ac:dyDescent="0.3">
      <c r="A26" t="s">
        <v>1</v>
      </c>
      <c r="B26">
        <v>16719931.699999999</v>
      </c>
      <c r="C26">
        <v>416611209.10000002</v>
      </c>
      <c r="D26">
        <v>1665381296.8</v>
      </c>
      <c r="E26">
        <v>41674167077.666664</v>
      </c>
      <c r="F26">
        <v>166669348858</v>
      </c>
      <c r="G26" s="3">
        <f t="shared" si="2"/>
        <v>4166733721450</v>
      </c>
      <c r="J26" s="1"/>
      <c r="K26" s="1"/>
    </row>
    <row r="27" spans="1:11" x14ac:dyDescent="0.3">
      <c r="J27" s="1"/>
      <c r="K27" s="1"/>
    </row>
    <row r="28" spans="1:11" x14ac:dyDescent="0.3">
      <c r="A28" s="1" t="s">
        <v>34</v>
      </c>
      <c r="B28" s="1" t="s">
        <v>31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t="s">
        <v>3</v>
      </c>
      <c r="B29" s="4" t="s">
        <v>4</v>
      </c>
      <c r="C29" s="4" t="s">
        <v>5</v>
      </c>
      <c r="D29" s="4" t="s">
        <v>15</v>
      </c>
      <c r="E29" s="4" t="s">
        <v>6</v>
      </c>
      <c r="F29" t="s">
        <v>7</v>
      </c>
      <c r="G29" t="s">
        <v>8</v>
      </c>
      <c r="H29" s="4" t="s">
        <v>9</v>
      </c>
      <c r="I29" s="4" t="s">
        <v>10</v>
      </c>
      <c r="J29" s="1"/>
      <c r="K29" s="1"/>
    </row>
    <row r="30" spans="1:11" x14ac:dyDescent="0.3">
      <c r="A30" t="s">
        <v>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s="1"/>
      <c r="K30" s="1"/>
    </row>
    <row r="31" spans="1:11" x14ac:dyDescent="0.3">
      <c r="A31" t="s">
        <v>0</v>
      </c>
      <c r="B31">
        <v>0</v>
      </c>
      <c r="C31">
        <v>1</v>
      </c>
      <c r="D31">
        <v>4</v>
      </c>
      <c r="E31">
        <v>4</v>
      </c>
      <c r="F31">
        <v>10</v>
      </c>
      <c r="G31">
        <v>9</v>
      </c>
      <c r="H31">
        <v>6</v>
      </c>
      <c r="I31">
        <v>6</v>
      </c>
      <c r="J31" s="1"/>
      <c r="K31" s="1"/>
    </row>
    <row r="32" spans="1:11" x14ac:dyDescent="0.3">
      <c r="A32" t="s">
        <v>1</v>
      </c>
      <c r="B32">
        <v>0</v>
      </c>
      <c r="C32">
        <v>0</v>
      </c>
      <c r="D32">
        <v>0</v>
      </c>
      <c r="E32">
        <v>0</v>
      </c>
      <c r="F32">
        <v>30</v>
      </c>
      <c r="G32">
        <v>21</v>
      </c>
      <c r="H32">
        <v>12</v>
      </c>
      <c r="I32">
        <v>6</v>
      </c>
      <c r="J32" s="1"/>
      <c r="K32" s="1"/>
    </row>
    <row r="33" spans="1:11" x14ac:dyDescent="0.3">
      <c r="J33" s="1"/>
      <c r="K33" s="1"/>
    </row>
    <row r="34" spans="1:11" x14ac:dyDescent="0.3">
      <c r="A34" t="s">
        <v>11</v>
      </c>
      <c r="B34" t="s">
        <v>12</v>
      </c>
      <c r="C34" s="4" t="s">
        <v>6</v>
      </c>
      <c r="D34" t="s">
        <v>7</v>
      </c>
      <c r="E34" s="4" t="s">
        <v>14</v>
      </c>
      <c r="F34" t="s">
        <v>9</v>
      </c>
      <c r="G34" t="s">
        <v>10</v>
      </c>
      <c r="J34" s="1"/>
      <c r="K34" s="1"/>
    </row>
    <row r="35" spans="1:11" x14ac:dyDescent="0.3">
      <c r="A35" t="s">
        <v>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J35" s="1"/>
      <c r="K35" s="1"/>
    </row>
    <row r="36" spans="1:11" x14ac:dyDescent="0.3">
      <c r="A36" t="s">
        <v>0</v>
      </c>
      <c r="B36">
        <v>706</v>
      </c>
      <c r="C36">
        <v>49</v>
      </c>
      <c r="D36">
        <v>1225</v>
      </c>
      <c r="E36">
        <v>49</v>
      </c>
      <c r="F36">
        <v>644</v>
      </c>
      <c r="G36">
        <v>639</v>
      </c>
      <c r="J36" s="1"/>
      <c r="K36" s="1"/>
    </row>
    <row r="37" spans="1:11" x14ac:dyDescent="0.3">
      <c r="A37" t="s">
        <v>1</v>
      </c>
      <c r="B37">
        <v>1974</v>
      </c>
      <c r="C37">
        <v>0</v>
      </c>
      <c r="D37">
        <v>3675</v>
      </c>
      <c r="E37">
        <v>0</v>
      </c>
      <c r="F37">
        <v>1788</v>
      </c>
      <c r="G37">
        <v>1782</v>
      </c>
      <c r="J37" s="1"/>
      <c r="K37" s="1"/>
    </row>
    <row r="38" spans="1:11" x14ac:dyDescent="0.3">
      <c r="J38" s="1"/>
      <c r="K38" s="1"/>
    </row>
    <row r="39" spans="1:11" x14ac:dyDescent="0.3">
      <c r="J39" s="1"/>
      <c r="K39" s="1"/>
    </row>
    <row r="40" spans="1:11" x14ac:dyDescent="0.3">
      <c r="A40" t="s">
        <v>13</v>
      </c>
      <c r="B40" t="s">
        <v>12</v>
      </c>
      <c r="C40" s="4" t="s">
        <v>6</v>
      </c>
      <c r="D40" t="s">
        <v>7</v>
      </c>
      <c r="E40" s="4" t="s">
        <v>14</v>
      </c>
      <c r="F40" s="4" t="s">
        <v>16</v>
      </c>
      <c r="J40" s="1"/>
      <c r="K40" s="1"/>
    </row>
    <row r="41" spans="1:11" x14ac:dyDescent="0.3">
      <c r="A41" t="s">
        <v>27</v>
      </c>
      <c r="B41">
        <v>999</v>
      </c>
      <c r="C41">
        <v>0</v>
      </c>
      <c r="D41">
        <v>3994</v>
      </c>
      <c r="E41">
        <v>0</v>
      </c>
      <c r="F41">
        <v>0</v>
      </c>
      <c r="J41" s="1"/>
      <c r="K41" s="1"/>
    </row>
    <row r="42" spans="1:11" x14ac:dyDescent="0.3">
      <c r="A42" t="s">
        <v>0</v>
      </c>
      <c r="B42">
        <v>246512</v>
      </c>
      <c r="C42">
        <v>999</v>
      </c>
      <c r="D42">
        <v>499500</v>
      </c>
      <c r="E42">
        <v>999</v>
      </c>
      <c r="F42">
        <v>1000</v>
      </c>
      <c r="J42" s="1"/>
      <c r="K42" s="1"/>
    </row>
    <row r="43" spans="1:11" x14ac:dyDescent="0.3">
      <c r="A43" t="s">
        <v>1</v>
      </c>
      <c r="B43">
        <v>736545</v>
      </c>
      <c r="C43">
        <v>0</v>
      </c>
      <c r="D43">
        <v>1498500</v>
      </c>
      <c r="E43">
        <v>0</v>
      </c>
      <c r="F43">
        <v>3</v>
      </c>
      <c r="J43" s="1"/>
      <c r="K43" s="1"/>
    </row>
    <row r="44" spans="1:11" x14ac:dyDescent="0.3">
      <c r="J44" s="1"/>
      <c r="K44" s="1"/>
    </row>
    <row r="45" spans="1:11" x14ac:dyDescent="0.3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J45" s="1"/>
      <c r="K45" s="1"/>
    </row>
    <row r="46" spans="1:11" x14ac:dyDescent="0.3">
      <c r="A46" t="s">
        <v>27</v>
      </c>
      <c r="B46">
        <v>0</v>
      </c>
      <c r="C46">
        <v>0</v>
      </c>
      <c r="D46">
        <v>0</v>
      </c>
      <c r="E46">
        <v>0</v>
      </c>
      <c r="F46">
        <v>0</v>
      </c>
      <c r="J46" s="1"/>
      <c r="K46" s="1"/>
    </row>
    <row r="47" spans="1:11" x14ac:dyDescent="0.3">
      <c r="A47" t="s">
        <v>0</v>
      </c>
      <c r="B47">
        <v>1</v>
      </c>
      <c r="C47">
        <v>28</v>
      </c>
      <c r="D47">
        <v>104</v>
      </c>
      <c r="E47">
        <v>2781</v>
      </c>
      <c r="F47">
        <v>66250</v>
      </c>
      <c r="J47" s="1"/>
      <c r="K47" s="1"/>
    </row>
    <row r="48" spans="1:11" x14ac:dyDescent="0.3">
      <c r="A48" t="s">
        <v>1</v>
      </c>
      <c r="B48">
        <v>0</v>
      </c>
      <c r="C48">
        <v>57</v>
      </c>
      <c r="D48">
        <v>270</v>
      </c>
      <c r="E48">
        <v>8055</v>
      </c>
      <c r="F48">
        <v>197265</v>
      </c>
      <c r="J48" s="1"/>
      <c r="K48" s="1"/>
    </row>
    <row r="49" spans="1:11" x14ac:dyDescent="0.3">
      <c r="J49" s="1"/>
      <c r="K49" s="1"/>
    </row>
    <row r="50" spans="1:11" x14ac:dyDescent="0.3">
      <c r="A50" s="2" t="s">
        <v>2</v>
      </c>
      <c r="B50">
        <v>10000</v>
      </c>
      <c r="C50">
        <v>50000</v>
      </c>
      <c r="D50">
        <v>100000</v>
      </c>
      <c r="E50">
        <v>500000</v>
      </c>
      <c r="F50">
        <v>1000000</v>
      </c>
      <c r="G50" s="3">
        <v>5000000</v>
      </c>
      <c r="J50" s="1"/>
      <c r="K50" s="1"/>
    </row>
    <row r="51" spans="1:11" x14ac:dyDescent="0.3">
      <c r="A51" t="s">
        <v>27</v>
      </c>
      <c r="B51">
        <v>112763.1</v>
      </c>
      <c r="C51">
        <v>3141361.2</v>
      </c>
      <c r="D51">
        <v>11759362.9</v>
      </c>
      <c r="E51">
        <v>309738688.33333331</v>
      </c>
      <c r="F51">
        <v>1135560311</v>
      </c>
      <c r="G51" s="3">
        <f>25*F51</f>
        <v>28389007775</v>
      </c>
      <c r="J51" s="1"/>
      <c r="K51" s="1"/>
    </row>
    <row r="52" spans="1:11" x14ac:dyDescent="0.3">
      <c r="A52" t="s">
        <v>0</v>
      </c>
      <c r="B52">
        <v>25007124</v>
      </c>
      <c r="C52">
        <v>625339843.5</v>
      </c>
      <c r="D52">
        <v>2498319056.1999998</v>
      </c>
      <c r="E52">
        <v>62532073464</v>
      </c>
      <c r="F52">
        <v>249983358361</v>
      </c>
      <c r="G52" s="3">
        <f t="shared" ref="G52:G53" si="3">25*F52</f>
        <v>6249583959025</v>
      </c>
      <c r="J52" s="1"/>
      <c r="K52" s="1"/>
    </row>
    <row r="53" spans="1:11" x14ac:dyDescent="0.3">
      <c r="A53" t="s">
        <v>1</v>
      </c>
      <c r="B53">
        <v>74991401.700000003</v>
      </c>
      <c r="C53">
        <v>1875869558.4000001</v>
      </c>
      <c r="D53">
        <v>7494657199.5</v>
      </c>
      <c r="E53">
        <v>187594720429</v>
      </c>
      <c r="F53">
        <v>749947075113</v>
      </c>
      <c r="G53" s="3">
        <f t="shared" si="3"/>
        <v>18748676877825</v>
      </c>
      <c r="J53" s="1"/>
      <c r="K53" s="1"/>
    </row>
    <row r="54" spans="1:11" x14ac:dyDescent="0.3">
      <c r="J54" s="1"/>
      <c r="K54" s="1"/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J56" s="1"/>
      <c r="K56" s="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F47D-FE4B-4668-8AC6-F251F08DA816}">
  <dimension ref="A1:L40"/>
  <sheetViews>
    <sheetView zoomScale="85" zoomScaleNormal="85" workbookViewId="0">
      <selection activeCell="G1" sqref="A1:G4"/>
    </sheetView>
  </sheetViews>
  <sheetFormatPr defaultRowHeight="14.4" x14ac:dyDescent="0.3"/>
  <cols>
    <col min="1" max="1" width="16.44140625" customWidth="1"/>
    <col min="2" max="6" width="12" bestFit="1" customWidth="1"/>
    <col min="11" max="11" width="11" bestFit="1" customWidth="1"/>
    <col min="12" max="12" width="14.77734375" customWidth="1"/>
  </cols>
  <sheetData>
    <row r="1" spans="1:12" x14ac:dyDescent="0.3">
      <c r="A1" s="2" t="s">
        <v>2</v>
      </c>
      <c r="B1">
        <v>10000</v>
      </c>
      <c r="C1">
        <v>50000</v>
      </c>
      <c r="D1">
        <v>100000</v>
      </c>
      <c r="E1">
        <v>500000</v>
      </c>
      <c r="F1">
        <v>1000000</v>
      </c>
      <c r="G1">
        <v>5000000</v>
      </c>
      <c r="L1" s="2"/>
    </row>
    <row r="2" spans="1:12" x14ac:dyDescent="0.3">
      <c r="A2" t="s">
        <v>27</v>
      </c>
      <c r="B2">
        <v>112763.1</v>
      </c>
      <c r="C2">
        <v>3141361.2</v>
      </c>
      <c r="D2">
        <v>11759362.9</v>
      </c>
      <c r="E2">
        <v>309738688.33333331</v>
      </c>
      <c r="F2">
        <v>1135560311</v>
      </c>
      <c r="L2" s="2"/>
    </row>
    <row r="3" spans="1:12" x14ac:dyDescent="0.3">
      <c r="A3" t="s">
        <v>0</v>
      </c>
      <c r="B3">
        <v>25007124</v>
      </c>
      <c r="C3">
        <v>625339843.5</v>
      </c>
      <c r="D3">
        <v>2498319056.1999998</v>
      </c>
      <c r="E3">
        <v>62532073464</v>
      </c>
      <c r="F3">
        <v>249983358361</v>
      </c>
      <c r="L3" s="2"/>
    </row>
    <row r="4" spans="1:12" x14ac:dyDescent="0.3">
      <c r="A4" t="s">
        <v>1</v>
      </c>
      <c r="B4">
        <v>74991401.700000003</v>
      </c>
      <c r="C4">
        <v>1875869558.4000001</v>
      </c>
      <c r="D4">
        <v>7494657199.5</v>
      </c>
      <c r="E4">
        <v>187594720429</v>
      </c>
      <c r="F4">
        <v>749947075113</v>
      </c>
      <c r="L4" s="2"/>
    </row>
    <row r="5" spans="1:12" x14ac:dyDescent="0.3">
      <c r="L5" s="2"/>
    </row>
    <row r="6" spans="1:12" x14ac:dyDescent="0.3">
      <c r="A6">
        <v>10000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 s="2" t="s">
        <v>26</v>
      </c>
    </row>
    <row r="7" spans="1:12" x14ac:dyDescent="0.3">
      <c r="A7" t="s">
        <v>27</v>
      </c>
      <c r="B7">
        <v>104125</v>
      </c>
      <c r="C7">
        <v>175932</v>
      </c>
      <c r="D7">
        <v>106331</v>
      </c>
      <c r="E7">
        <v>103591</v>
      </c>
      <c r="F7">
        <v>105010</v>
      </c>
      <c r="G7">
        <v>108551</v>
      </c>
      <c r="H7">
        <v>105272</v>
      </c>
      <c r="I7">
        <v>110118</v>
      </c>
      <c r="J7">
        <v>104438</v>
      </c>
      <c r="K7">
        <v>104263</v>
      </c>
      <c r="L7" s="2">
        <f>AVERAGE(B7:K7)</f>
        <v>112763.1</v>
      </c>
    </row>
    <row r="8" spans="1:12" x14ac:dyDescent="0.3">
      <c r="A8" t="s">
        <v>0</v>
      </c>
      <c r="B8">
        <v>25166187</v>
      </c>
      <c r="C8">
        <v>25009559</v>
      </c>
      <c r="D8">
        <v>25388985</v>
      </c>
      <c r="E8">
        <v>24876115</v>
      </c>
      <c r="F8">
        <v>25083130</v>
      </c>
      <c r="G8">
        <v>24898048</v>
      </c>
      <c r="H8">
        <v>24760684</v>
      </c>
      <c r="I8">
        <v>24824681</v>
      </c>
      <c r="J8">
        <v>25071456</v>
      </c>
      <c r="K8">
        <v>24992395</v>
      </c>
      <c r="L8" s="2">
        <f t="shared" ref="L8:L9" si="0">AVERAGE(B8:K8)</f>
        <v>25007124</v>
      </c>
    </row>
    <row r="9" spans="1:12" x14ac:dyDescent="0.3">
      <c r="A9" t="s">
        <v>25</v>
      </c>
      <c r="B9">
        <v>75468600</v>
      </c>
      <c r="C9">
        <v>74998707</v>
      </c>
      <c r="D9">
        <v>76136973</v>
      </c>
      <c r="E9">
        <v>74598372</v>
      </c>
      <c r="F9">
        <v>75219420</v>
      </c>
      <c r="G9">
        <v>74664171</v>
      </c>
      <c r="H9">
        <v>74252082</v>
      </c>
      <c r="I9">
        <v>74444073</v>
      </c>
      <c r="J9">
        <v>75184398</v>
      </c>
      <c r="K9">
        <v>74947221</v>
      </c>
      <c r="L9" s="2">
        <f t="shared" si="0"/>
        <v>74991401.700000003</v>
      </c>
    </row>
    <row r="10" spans="1:12" x14ac:dyDescent="0.3">
      <c r="L10" s="2"/>
    </row>
    <row r="11" spans="1:12" x14ac:dyDescent="0.3">
      <c r="A11">
        <v>50000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 s="2" t="s">
        <v>26</v>
      </c>
    </row>
    <row r="12" spans="1:12" x14ac:dyDescent="0.3">
      <c r="A12" t="s">
        <v>27</v>
      </c>
      <c r="B12">
        <v>2695986</v>
      </c>
      <c r="C12">
        <v>2691476</v>
      </c>
      <c r="D12">
        <v>2648598</v>
      </c>
      <c r="E12">
        <v>3748655</v>
      </c>
      <c r="F12">
        <v>2703855</v>
      </c>
      <c r="G12">
        <v>2677525</v>
      </c>
      <c r="H12">
        <v>2629242</v>
      </c>
      <c r="I12">
        <v>4812915</v>
      </c>
      <c r="J12">
        <v>4147438</v>
      </c>
      <c r="K12">
        <v>2657922</v>
      </c>
      <c r="L12" s="2">
        <f>AVERAGE(B12:K12)</f>
        <v>3141361.2</v>
      </c>
    </row>
    <row r="13" spans="1:12" x14ac:dyDescent="0.3">
      <c r="A13" t="s">
        <v>0</v>
      </c>
      <c r="B13">
        <v>627495204</v>
      </c>
      <c r="C13">
        <v>625110600</v>
      </c>
      <c r="D13">
        <v>628202652</v>
      </c>
      <c r="E13">
        <v>624612991</v>
      </c>
      <c r="F13">
        <v>622410925</v>
      </c>
      <c r="G13">
        <v>627376104</v>
      </c>
      <c r="H13">
        <v>622468580</v>
      </c>
      <c r="I13">
        <v>624693932</v>
      </c>
      <c r="J13">
        <v>626701910</v>
      </c>
      <c r="K13">
        <v>624325537</v>
      </c>
      <c r="L13" s="2">
        <f t="shared" ref="L13:L14" si="1">AVERAGE(B13:K13)</f>
        <v>625339843.5</v>
      </c>
    </row>
    <row r="14" spans="1:12" x14ac:dyDescent="0.3">
      <c r="A14" t="s">
        <v>25</v>
      </c>
      <c r="B14">
        <v>1882335648</v>
      </c>
      <c r="C14">
        <v>1875181833</v>
      </c>
      <c r="D14">
        <v>1884457980</v>
      </c>
      <c r="E14">
        <v>1873688997</v>
      </c>
      <c r="F14">
        <v>1867082811</v>
      </c>
      <c r="G14">
        <v>1881978345</v>
      </c>
      <c r="H14">
        <v>1867255752</v>
      </c>
      <c r="I14">
        <v>1873931829</v>
      </c>
      <c r="J14">
        <v>1879955742</v>
      </c>
      <c r="K14">
        <v>1872826647</v>
      </c>
      <c r="L14" s="2">
        <f t="shared" si="1"/>
        <v>1875869558.4000001</v>
      </c>
    </row>
    <row r="15" spans="1:12" x14ac:dyDescent="0.3">
      <c r="L15" s="2"/>
    </row>
    <row r="16" spans="1:12" x14ac:dyDescent="0.3">
      <c r="A16">
        <v>100000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 s="2" t="s">
        <v>26</v>
      </c>
    </row>
    <row r="17" spans="1:12" x14ac:dyDescent="0.3">
      <c r="A17" t="s">
        <v>27</v>
      </c>
      <c r="B17">
        <v>10467348</v>
      </c>
      <c r="C17">
        <v>10461224</v>
      </c>
      <c r="D17">
        <v>10777896</v>
      </c>
      <c r="E17">
        <v>15132457</v>
      </c>
      <c r="F17">
        <v>10596214</v>
      </c>
      <c r="G17">
        <v>14190149</v>
      </c>
      <c r="H17">
        <v>10699857</v>
      </c>
      <c r="I17">
        <v>10644532</v>
      </c>
      <c r="J17">
        <v>14076139</v>
      </c>
      <c r="K17">
        <v>10547813</v>
      </c>
      <c r="L17" s="2">
        <f>AVERAGE(B17:K17)</f>
        <v>11759362.9</v>
      </c>
    </row>
    <row r="18" spans="1:12" x14ac:dyDescent="0.3">
      <c r="A18" t="s">
        <v>0</v>
      </c>
      <c r="B18">
        <v>2496121447</v>
      </c>
      <c r="C18">
        <v>2493185664</v>
      </c>
      <c r="D18">
        <v>2510454450</v>
      </c>
      <c r="E18">
        <v>2492287872</v>
      </c>
      <c r="F18">
        <v>2496579282</v>
      </c>
      <c r="G18">
        <v>2494191230</v>
      </c>
      <c r="H18">
        <v>2500769778</v>
      </c>
      <c r="I18">
        <v>2506137099</v>
      </c>
      <c r="J18">
        <v>2492335375</v>
      </c>
      <c r="K18">
        <v>2501128365</v>
      </c>
      <c r="L18" s="2">
        <f t="shared" ref="L18:L19" si="2">AVERAGE(B18:K18)</f>
        <v>2498319056.1999998</v>
      </c>
    </row>
    <row r="19" spans="1:12" x14ac:dyDescent="0.3">
      <c r="A19" t="s">
        <v>25</v>
      </c>
      <c r="B19">
        <v>7488064371</v>
      </c>
      <c r="C19">
        <v>7479257028</v>
      </c>
      <c r="D19">
        <v>7531063371</v>
      </c>
      <c r="E19">
        <v>7476563664</v>
      </c>
      <c r="F19">
        <v>7489437873</v>
      </c>
      <c r="G19">
        <v>7482273720</v>
      </c>
      <c r="H19">
        <v>7502009376</v>
      </c>
      <c r="I19">
        <v>7518111330</v>
      </c>
      <c r="J19">
        <v>7476706149</v>
      </c>
      <c r="K19">
        <v>7503085113</v>
      </c>
      <c r="L19" s="2">
        <f t="shared" si="2"/>
        <v>7494657199.5</v>
      </c>
    </row>
    <row r="20" spans="1:12" x14ac:dyDescent="0.3">
      <c r="L20" s="2"/>
    </row>
    <row r="21" spans="1:12" x14ac:dyDescent="0.3">
      <c r="A21">
        <v>500000</v>
      </c>
      <c r="B21">
        <v>1</v>
      </c>
      <c r="C21">
        <v>2</v>
      </c>
      <c r="D21">
        <v>3</v>
      </c>
      <c r="L21" s="2" t="s">
        <v>26</v>
      </c>
    </row>
    <row r="22" spans="1:12" x14ac:dyDescent="0.3">
      <c r="A22" t="s">
        <v>27</v>
      </c>
      <c r="B22">
        <v>288925193</v>
      </c>
      <c r="C22">
        <v>307907881</v>
      </c>
      <c r="D22">
        <v>332382991</v>
      </c>
      <c r="L22" s="2">
        <f>AVERAGE(B22:D22)</f>
        <v>309738688.33333331</v>
      </c>
    </row>
    <row r="23" spans="1:12" x14ac:dyDescent="0.3">
      <c r="A23" t="s">
        <v>0</v>
      </c>
      <c r="B23">
        <v>62541083731</v>
      </c>
      <c r="C23">
        <v>62476425193</v>
      </c>
      <c r="D23">
        <v>62578711468</v>
      </c>
      <c r="L23" s="2">
        <f t="shared" ref="L23:L24" si="3">AVERAGE(B23:D23)</f>
        <v>62532073464</v>
      </c>
    </row>
    <row r="24" spans="1:12" x14ac:dyDescent="0.3">
      <c r="A24" t="s">
        <v>25</v>
      </c>
      <c r="B24">
        <v>187621751232</v>
      </c>
      <c r="C24">
        <v>187427775612</v>
      </c>
      <c r="D24">
        <v>187734634443</v>
      </c>
      <c r="L24" s="2">
        <f t="shared" si="3"/>
        <v>187594720429</v>
      </c>
    </row>
    <row r="25" spans="1:12" x14ac:dyDescent="0.3">
      <c r="L25" s="2"/>
    </row>
    <row r="26" spans="1:12" x14ac:dyDescent="0.3">
      <c r="L26" s="2"/>
    </row>
    <row r="27" spans="1:12" x14ac:dyDescent="0.3">
      <c r="A27">
        <v>1000000</v>
      </c>
      <c r="B27">
        <v>1</v>
      </c>
      <c r="L27" s="2"/>
    </row>
    <row r="28" spans="1:12" x14ac:dyDescent="0.3">
      <c r="A28" t="s">
        <v>27</v>
      </c>
      <c r="B28">
        <v>1135560311</v>
      </c>
      <c r="L28" s="2"/>
    </row>
    <row r="29" spans="1:12" x14ac:dyDescent="0.3">
      <c r="A29" t="s">
        <v>0</v>
      </c>
      <c r="B29">
        <v>249983358361</v>
      </c>
      <c r="L29" s="2"/>
    </row>
    <row r="30" spans="1:12" x14ac:dyDescent="0.3">
      <c r="A30" t="s">
        <v>25</v>
      </c>
      <c r="B30">
        <v>749947075113</v>
      </c>
      <c r="L30" s="2"/>
    </row>
    <row r="31" spans="1:12" x14ac:dyDescent="0.3">
      <c r="L31" s="2"/>
    </row>
    <row r="32" spans="1:12" x14ac:dyDescent="0.3">
      <c r="L32" s="2"/>
    </row>
    <row r="33" spans="1:12" x14ac:dyDescent="0.3">
      <c r="A33">
        <v>5000000</v>
      </c>
      <c r="B33">
        <v>1</v>
      </c>
      <c r="L33" s="2"/>
    </row>
    <row r="34" spans="1:12" x14ac:dyDescent="0.3">
      <c r="A34" t="s">
        <v>27</v>
      </c>
      <c r="L34" s="2"/>
    </row>
    <row r="35" spans="1:12" x14ac:dyDescent="0.3">
      <c r="A35" t="s">
        <v>0</v>
      </c>
      <c r="L35" s="2"/>
    </row>
    <row r="36" spans="1:12" x14ac:dyDescent="0.3">
      <c r="A36" t="s">
        <v>25</v>
      </c>
      <c r="L36" s="2"/>
    </row>
    <row r="37" spans="1:12" x14ac:dyDescent="0.3">
      <c r="L37" s="2"/>
    </row>
    <row r="38" spans="1:12" x14ac:dyDescent="0.3">
      <c r="L38" s="2"/>
    </row>
    <row r="39" spans="1:12" x14ac:dyDescent="0.3">
      <c r="L39" s="2"/>
    </row>
    <row r="40" spans="1:12" x14ac:dyDescent="0.3">
      <c r="L4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2033-2AD3-42C0-A7D5-D528A9CB8AD3}">
  <dimension ref="A1:L36"/>
  <sheetViews>
    <sheetView zoomScale="70" zoomScaleNormal="70" workbookViewId="0">
      <selection activeCell="A27" sqref="A27"/>
    </sheetView>
  </sheetViews>
  <sheetFormatPr defaultRowHeight="14.4" x14ac:dyDescent="0.3"/>
  <cols>
    <col min="1" max="1" width="17.88671875" customWidth="1"/>
    <col min="2" max="2" width="12" bestFit="1" customWidth="1"/>
    <col min="3" max="3" width="10" bestFit="1" customWidth="1"/>
    <col min="4" max="4" width="11" bestFit="1" customWidth="1"/>
    <col min="5" max="5" width="12" bestFit="1" customWidth="1"/>
    <col min="6" max="6" width="10" customWidth="1"/>
    <col min="7" max="11" width="10" bestFit="1" customWidth="1"/>
    <col min="12" max="12" width="15.6640625" style="2" customWidth="1"/>
  </cols>
  <sheetData>
    <row r="1" spans="1:12" x14ac:dyDescent="0.3">
      <c r="A1" s="2" t="s">
        <v>2</v>
      </c>
      <c r="B1">
        <v>10000</v>
      </c>
      <c r="C1">
        <v>50000</v>
      </c>
      <c r="D1">
        <v>100000</v>
      </c>
      <c r="E1">
        <v>500000</v>
      </c>
      <c r="F1">
        <v>1000000</v>
      </c>
      <c r="G1">
        <v>5000000</v>
      </c>
    </row>
    <row r="2" spans="1:12" x14ac:dyDescent="0.3">
      <c r="A2" t="s">
        <v>27</v>
      </c>
      <c r="B2">
        <v>54362.9</v>
      </c>
      <c r="C2">
        <v>1342032.8</v>
      </c>
      <c r="D2">
        <v>5213683.5</v>
      </c>
      <c r="E2">
        <v>139362518.66666666</v>
      </c>
      <c r="F2">
        <v>529862772</v>
      </c>
    </row>
    <row r="3" spans="1:12" x14ac:dyDescent="0.3">
      <c r="A3" t="s">
        <v>0</v>
      </c>
      <c r="B3">
        <v>16707445.800000001</v>
      </c>
      <c r="C3">
        <v>416548668.10000002</v>
      </c>
      <c r="D3">
        <v>1665256197</v>
      </c>
      <c r="E3">
        <v>41673541960.333336</v>
      </c>
      <c r="F3">
        <v>166668099699</v>
      </c>
    </row>
    <row r="4" spans="1:12" x14ac:dyDescent="0.3">
      <c r="A4" t="s">
        <v>1</v>
      </c>
      <c r="B4">
        <v>16719931.699999999</v>
      </c>
      <c r="C4">
        <v>416611209.10000002</v>
      </c>
      <c r="D4">
        <v>1665381296.8</v>
      </c>
      <c r="E4">
        <v>41674167077.666664</v>
      </c>
      <c r="F4">
        <v>166669348858</v>
      </c>
    </row>
    <row r="6" spans="1:12" x14ac:dyDescent="0.3">
      <c r="A6">
        <v>10000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 s="2" t="s">
        <v>26</v>
      </c>
    </row>
    <row r="7" spans="1:12" x14ac:dyDescent="0.3">
      <c r="A7" t="s">
        <v>27</v>
      </c>
      <c r="B7">
        <v>47683</v>
      </c>
      <c r="C7">
        <v>48003</v>
      </c>
      <c r="D7">
        <v>53024</v>
      </c>
      <c r="E7">
        <v>48350</v>
      </c>
      <c r="F7">
        <v>47576</v>
      </c>
      <c r="G7">
        <v>49512</v>
      </c>
      <c r="H7">
        <v>48667</v>
      </c>
      <c r="I7">
        <v>98869</v>
      </c>
      <c r="J7">
        <v>47648</v>
      </c>
      <c r="K7">
        <v>54297</v>
      </c>
      <c r="L7" s="2">
        <f>AVERAGE(B7:K7)</f>
        <v>54362.9</v>
      </c>
    </row>
    <row r="8" spans="1:12" x14ac:dyDescent="0.3">
      <c r="A8" t="s">
        <v>0</v>
      </c>
      <c r="B8">
        <v>16871224</v>
      </c>
      <c r="C8">
        <v>16775330</v>
      </c>
      <c r="D8">
        <v>16714465</v>
      </c>
      <c r="E8">
        <v>16782847</v>
      </c>
      <c r="F8">
        <v>16641182</v>
      </c>
      <c r="G8">
        <v>16748906</v>
      </c>
      <c r="H8">
        <v>16699373</v>
      </c>
      <c r="I8">
        <v>16688424</v>
      </c>
      <c r="J8">
        <v>16614647</v>
      </c>
      <c r="K8">
        <v>16538060</v>
      </c>
      <c r="L8" s="2">
        <f t="shared" ref="L8:L9" si="0">AVERAGE(B8:K8)</f>
        <v>16707445.800000001</v>
      </c>
    </row>
    <row r="9" spans="1:12" x14ac:dyDescent="0.3">
      <c r="A9" t="s">
        <v>25</v>
      </c>
      <c r="B9">
        <v>16883837</v>
      </c>
      <c r="C9">
        <v>16787893</v>
      </c>
      <c r="D9">
        <v>16726988</v>
      </c>
      <c r="E9">
        <v>16795223</v>
      </c>
      <c r="F9">
        <v>16653717</v>
      </c>
      <c r="G9">
        <v>16761296</v>
      </c>
      <c r="H9">
        <v>16711985</v>
      </c>
      <c r="I9">
        <v>16700792</v>
      </c>
      <c r="J9">
        <v>16627133</v>
      </c>
      <c r="K9">
        <v>16550453</v>
      </c>
      <c r="L9" s="2">
        <f t="shared" si="0"/>
        <v>16719931.699999999</v>
      </c>
    </row>
    <row r="11" spans="1:12" x14ac:dyDescent="0.3">
      <c r="A11">
        <v>50000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 s="2" t="s">
        <v>26</v>
      </c>
    </row>
    <row r="12" spans="1:12" x14ac:dyDescent="0.3">
      <c r="A12" t="s">
        <v>27</v>
      </c>
      <c r="B12">
        <v>1316239</v>
      </c>
      <c r="C12">
        <v>1346109</v>
      </c>
      <c r="D12">
        <v>1219592</v>
      </c>
      <c r="E12">
        <v>1314974</v>
      </c>
      <c r="F12">
        <v>1298263</v>
      </c>
      <c r="G12">
        <v>1550300</v>
      </c>
      <c r="H12">
        <v>1325603</v>
      </c>
      <c r="I12">
        <v>1342567</v>
      </c>
      <c r="J12">
        <v>1337036</v>
      </c>
      <c r="K12">
        <v>1369645</v>
      </c>
      <c r="L12" s="2">
        <f>AVERAGE(B12:K12)</f>
        <v>1342032.8</v>
      </c>
    </row>
    <row r="13" spans="1:12" x14ac:dyDescent="0.3">
      <c r="A13" t="s">
        <v>0</v>
      </c>
      <c r="B13">
        <v>416950591</v>
      </c>
      <c r="C13">
        <v>416763909</v>
      </c>
      <c r="D13">
        <v>417092790</v>
      </c>
      <c r="E13">
        <v>416724305</v>
      </c>
      <c r="F13">
        <v>417149564</v>
      </c>
      <c r="G13">
        <v>416819200</v>
      </c>
      <c r="H13">
        <v>415908467</v>
      </c>
      <c r="I13">
        <v>415896142</v>
      </c>
      <c r="J13">
        <v>416029310</v>
      </c>
      <c r="K13">
        <v>416152403</v>
      </c>
      <c r="L13" s="2">
        <f t="shared" ref="L13:L14" si="1">AVERAGE(B13:K13)</f>
        <v>416548668.10000002</v>
      </c>
    </row>
    <row r="14" spans="1:12" x14ac:dyDescent="0.3">
      <c r="A14" t="s">
        <v>25</v>
      </c>
      <c r="B14">
        <v>417013200</v>
      </c>
      <c r="C14">
        <v>416826587</v>
      </c>
      <c r="D14">
        <v>417155597</v>
      </c>
      <c r="E14">
        <v>416787221</v>
      </c>
      <c r="F14">
        <v>417212119</v>
      </c>
      <c r="G14">
        <v>416881772</v>
      </c>
      <c r="H14">
        <v>415970724</v>
      </c>
      <c r="I14">
        <v>415958527</v>
      </c>
      <c r="J14">
        <v>416091705</v>
      </c>
      <c r="K14">
        <v>416214639</v>
      </c>
      <c r="L14" s="2">
        <f t="shared" si="1"/>
        <v>416611209.10000002</v>
      </c>
    </row>
    <row r="16" spans="1:12" x14ac:dyDescent="0.3">
      <c r="A16">
        <v>100000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 s="2" t="s">
        <v>26</v>
      </c>
    </row>
    <row r="17" spans="1:12" x14ac:dyDescent="0.3">
      <c r="A17" t="s">
        <v>27</v>
      </c>
      <c r="B17">
        <v>5138710</v>
      </c>
      <c r="C17">
        <v>4939546</v>
      </c>
      <c r="D17">
        <v>5217157</v>
      </c>
      <c r="E17">
        <v>5746486</v>
      </c>
      <c r="F17">
        <v>5438649</v>
      </c>
      <c r="G17">
        <v>5010755</v>
      </c>
      <c r="H17">
        <v>4994096</v>
      </c>
      <c r="I17">
        <v>5311403</v>
      </c>
      <c r="J17">
        <v>5067211</v>
      </c>
      <c r="K17">
        <v>5272822</v>
      </c>
      <c r="L17" s="2">
        <f>AVERAGE(B17:K17)</f>
        <v>5213683.5</v>
      </c>
    </row>
    <row r="18" spans="1:12" x14ac:dyDescent="0.3">
      <c r="A18" t="s">
        <v>0</v>
      </c>
      <c r="B18">
        <v>1660988774</v>
      </c>
      <c r="C18">
        <v>1671819966</v>
      </c>
      <c r="D18">
        <v>1665172834</v>
      </c>
      <c r="E18">
        <v>1669370482</v>
      </c>
      <c r="F18">
        <v>1667102258</v>
      </c>
      <c r="G18">
        <v>1658551065</v>
      </c>
      <c r="H18">
        <v>1667008779</v>
      </c>
      <c r="I18">
        <v>1661823842</v>
      </c>
      <c r="J18">
        <v>1668983428</v>
      </c>
      <c r="K18">
        <v>1661740542</v>
      </c>
      <c r="L18" s="2">
        <f t="shared" ref="L18:L19" si="2">AVERAGE(B18:K18)</f>
        <v>1665256197</v>
      </c>
    </row>
    <row r="19" spans="1:12" x14ac:dyDescent="0.3">
      <c r="A19" t="s">
        <v>25</v>
      </c>
      <c r="B19">
        <v>1661113579</v>
      </c>
      <c r="C19">
        <v>1671945244</v>
      </c>
      <c r="D19">
        <v>1665298151</v>
      </c>
      <c r="E19">
        <v>1669495398</v>
      </c>
      <c r="F19">
        <v>1667227312</v>
      </c>
      <c r="G19">
        <v>1658676511</v>
      </c>
      <c r="H19">
        <v>1667134213</v>
      </c>
      <c r="I19">
        <v>1661948969</v>
      </c>
      <c r="J19">
        <v>1669107934</v>
      </c>
      <c r="K19">
        <v>1661865657</v>
      </c>
      <c r="L19" s="2">
        <f t="shared" si="2"/>
        <v>1665381296.8</v>
      </c>
    </row>
    <row r="21" spans="1:12" x14ac:dyDescent="0.3">
      <c r="A21">
        <v>500000</v>
      </c>
      <c r="B21">
        <v>1</v>
      </c>
      <c r="C21">
        <v>2</v>
      </c>
      <c r="D21">
        <v>3</v>
      </c>
      <c r="L21" s="2" t="s">
        <v>26</v>
      </c>
    </row>
    <row r="22" spans="1:12" x14ac:dyDescent="0.3">
      <c r="A22" t="s">
        <v>27</v>
      </c>
      <c r="B22">
        <v>150552063</v>
      </c>
      <c r="C22">
        <v>134529825</v>
      </c>
      <c r="D22">
        <v>133005668</v>
      </c>
      <c r="L22" s="2">
        <f>AVERAGE(B22:D22)</f>
        <v>139362518.66666666</v>
      </c>
    </row>
    <row r="23" spans="1:12" x14ac:dyDescent="0.3">
      <c r="A23" t="s">
        <v>0</v>
      </c>
      <c r="B23">
        <v>41670495909</v>
      </c>
      <c r="C23">
        <v>41672409964</v>
      </c>
      <c r="D23">
        <v>41677720008</v>
      </c>
      <c r="L23" s="2">
        <f t="shared" ref="L23:L24" si="3">AVERAGE(B23:D23)</f>
        <v>41673541960.333336</v>
      </c>
    </row>
    <row r="24" spans="1:12" x14ac:dyDescent="0.3">
      <c r="A24" t="s">
        <v>25</v>
      </c>
      <c r="B24">
        <v>41671121853</v>
      </c>
      <c r="C24">
        <v>41673033780</v>
      </c>
      <c r="D24">
        <v>41678345600</v>
      </c>
      <c r="L24" s="2">
        <f t="shared" si="3"/>
        <v>41674167077.666664</v>
      </c>
    </row>
    <row r="27" spans="1:12" x14ac:dyDescent="0.3">
      <c r="A27">
        <v>1000000</v>
      </c>
      <c r="B27">
        <v>1</v>
      </c>
    </row>
    <row r="28" spans="1:12" x14ac:dyDescent="0.3">
      <c r="A28" t="s">
        <v>27</v>
      </c>
      <c r="B28">
        <v>529862772</v>
      </c>
    </row>
    <row r="29" spans="1:12" x14ac:dyDescent="0.3">
      <c r="A29" t="s">
        <v>0</v>
      </c>
      <c r="B29">
        <v>166668099699</v>
      </c>
    </row>
    <row r="30" spans="1:12" x14ac:dyDescent="0.3">
      <c r="A30" t="s">
        <v>25</v>
      </c>
      <c r="B30">
        <v>166669348858</v>
      </c>
    </row>
    <row r="33" spans="1:2" x14ac:dyDescent="0.3">
      <c r="A33">
        <v>5000000</v>
      </c>
      <c r="B33">
        <v>1</v>
      </c>
    </row>
    <row r="34" spans="1:2" x14ac:dyDescent="0.3">
      <c r="A34" t="s">
        <v>27</v>
      </c>
    </row>
    <row r="35" spans="1:2" x14ac:dyDescent="0.3">
      <c r="A35" t="s">
        <v>0</v>
      </c>
    </row>
    <row r="36" spans="1:2" x14ac:dyDescent="0.3">
      <c r="A36" t="s">
        <v>25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3F29-2C7A-4625-8524-11FD99E93075}">
  <dimension ref="A1:AA53"/>
  <sheetViews>
    <sheetView zoomScale="70" zoomScaleNormal="70" workbookViewId="0">
      <selection activeCell="H14" sqref="H14"/>
    </sheetView>
  </sheetViews>
  <sheetFormatPr defaultRowHeight="14.4" x14ac:dyDescent="0.3"/>
  <cols>
    <col min="1" max="1" width="14.21875" bestFit="1" customWidth="1"/>
    <col min="2" max="2" width="14.109375" bestFit="1" customWidth="1"/>
    <col min="3" max="4" width="12.6640625" bestFit="1" customWidth="1"/>
    <col min="5" max="5" width="13.77734375" bestFit="1" customWidth="1"/>
    <col min="6" max="6" width="18.109375" bestFit="1" customWidth="1"/>
    <col min="7" max="7" width="11.6640625" bestFit="1" customWidth="1"/>
    <col min="8" max="8" width="10.109375" bestFit="1" customWidth="1"/>
    <col min="9" max="9" width="11.6640625" bestFit="1" customWidth="1"/>
    <col min="11" max="12" width="6.109375" style="1" customWidth="1"/>
    <col min="13" max="13" width="6.109375" customWidth="1"/>
    <col min="14" max="14" width="28.6640625" bestFit="1" customWidth="1"/>
    <col min="20" max="20" width="7.33203125" bestFit="1" customWidth="1"/>
    <col min="23" max="24" width="9.44140625" bestFit="1" customWidth="1"/>
    <col min="25" max="26" width="10.44140625" bestFit="1" customWidth="1"/>
    <col min="27" max="27" width="11.44140625" bestFit="1" customWidth="1"/>
    <col min="28" max="28" width="11.5546875" customWidth="1"/>
  </cols>
  <sheetData>
    <row r="1" spans="1:27" x14ac:dyDescent="0.3">
      <c r="A1" s="1" t="s">
        <v>23</v>
      </c>
      <c r="B1" s="1" t="s">
        <v>30</v>
      </c>
      <c r="C1" s="1"/>
      <c r="D1" s="1"/>
      <c r="E1" s="1"/>
      <c r="F1" s="1"/>
      <c r="G1" s="1"/>
      <c r="H1" s="1"/>
      <c r="I1" s="1"/>
      <c r="J1" s="1"/>
    </row>
    <row r="2" spans="1:27" x14ac:dyDescent="0.3">
      <c r="A2" t="s">
        <v>3</v>
      </c>
      <c r="B2" t="s">
        <v>4</v>
      </c>
      <c r="C2" t="s">
        <v>5</v>
      </c>
      <c r="D2" t="s">
        <v>15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N2" t="s">
        <v>42</v>
      </c>
    </row>
    <row r="3" spans="1:27" x14ac:dyDescent="0.3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O3">
        <v>2</v>
      </c>
      <c r="P3">
        <v>10</v>
      </c>
      <c r="Q3">
        <v>20</v>
      </c>
      <c r="R3">
        <v>100</v>
      </c>
      <c r="S3">
        <v>500</v>
      </c>
      <c r="T3">
        <v>10000</v>
      </c>
      <c r="U3">
        <v>50000</v>
      </c>
      <c r="V3">
        <v>100000</v>
      </c>
      <c r="W3">
        <v>500000</v>
      </c>
      <c r="X3">
        <v>1000000</v>
      </c>
      <c r="Y3">
        <v>5000000</v>
      </c>
      <c r="Z3">
        <v>10000000</v>
      </c>
      <c r="AA3">
        <v>100000000</v>
      </c>
    </row>
    <row r="4" spans="1:27" x14ac:dyDescent="0.3">
      <c r="A4" t="s">
        <v>0</v>
      </c>
      <c r="B4">
        <v>0</v>
      </c>
      <c r="C4">
        <v>6</v>
      </c>
      <c r="D4">
        <v>24</v>
      </c>
      <c r="E4">
        <v>24</v>
      </c>
      <c r="F4">
        <v>24</v>
      </c>
      <c r="G4">
        <v>24</v>
      </c>
      <c r="H4">
        <v>24</v>
      </c>
      <c r="I4">
        <v>24</v>
      </c>
      <c r="N4" s="5" t="s">
        <v>36</v>
      </c>
      <c r="O4">
        <v>0</v>
      </c>
      <c r="P4">
        <v>0</v>
      </c>
      <c r="Q4">
        <v>0</v>
      </c>
      <c r="R4">
        <v>0</v>
      </c>
      <c r="S4">
        <v>194</v>
      </c>
      <c r="T4">
        <v>2805.7</v>
      </c>
      <c r="U4">
        <v>15930.3</v>
      </c>
      <c r="V4">
        <v>33373.300000000003</v>
      </c>
      <c r="W4">
        <v>172368.2</v>
      </c>
      <c r="X4">
        <v>353477.6</v>
      </c>
      <c r="Y4" s="2">
        <v>1803179.3</v>
      </c>
      <c r="Z4">
        <v>3665871.3</v>
      </c>
      <c r="AA4">
        <v>39269367.899999999</v>
      </c>
    </row>
    <row r="5" spans="1:27" x14ac:dyDescent="0.3">
      <c r="A5" t="s">
        <v>1</v>
      </c>
      <c r="B5">
        <v>0</v>
      </c>
      <c r="C5">
        <v>7</v>
      </c>
      <c r="D5">
        <v>22</v>
      </c>
      <c r="E5">
        <v>22</v>
      </c>
      <c r="F5">
        <v>22</v>
      </c>
      <c r="G5">
        <v>22</v>
      </c>
      <c r="H5">
        <v>22</v>
      </c>
      <c r="I5">
        <v>22</v>
      </c>
      <c r="N5" s="5" t="s">
        <v>37</v>
      </c>
      <c r="O5">
        <v>2</v>
      </c>
      <c r="P5">
        <v>34</v>
      </c>
      <c r="Q5">
        <v>88</v>
      </c>
      <c r="R5">
        <v>342</v>
      </c>
      <c r="S5">
        <v>4488</v>
      </c>
      <c r="T5">
        <v>133616</v>
      </c>
      <c r="U5">
        <v>784464</v>
      </c>
      <c r="V5">
        <v>1668928</v>
      </c>
      <c r="W5">
        <v>9475712</v>
      </c>
      <c r="X5">
        <v>19951424</v>
      </c>
      <c r="Y5" s="2">
        <v>111611392</v>
      </c>
      <c r="Z5">
        <v>233222784</v>
      </c>
      <c r="AA5">
        <v>2665782272</v>
      </c>
    </row>
    <row r="6" spans="1:27" x14ac:dyDescent="0.3">
      <c r="N6" s="5" t="s">
        <v>38</v>
      </c>
      <c r="O6">
        <v>6</v>
      </c>
      <c r="P6">
        <v>86</v>
      </c>
      <c r="Q6">
        <v>214</v>
      </c>
      <c r="R6">
        <v>798</v>
      </c>
      <c r="S6">
        <v>9974</v>
      </c>
      <c r="T6">
        <v>287230</v>
      </c>
      <c r="U6">
        <v>1668926</v>
      </c>
      <c r="V6">
        <v>3537854</v>
      </c>
      <c r="W6">
        <v>19951422</v>
      </c>
      <c r="X6">
        <v>41902846</v>
      </c>
      <c r="Y6" s="2">
        <v>233222782</v>
      </c>
      <c r="Z6">
        <v>486445566</v>
      </c>
      <c r="AA6">
        <v>5531564542</v>
      </c>
    </row>
    <row r="7" spans="1:27" x14ac:dyDescent="0.3">
      <c r="A7" t="s">
        <v>11</v>
      </c>
      <c r="B7" t="s">
        <v>12</v>
      </c>
      <c r="C7" t="s">
        <v>6</v>
      </c>
      <c r="D7" t="s">
        <v>7</v>
      </c>
      <c r="E7" t="s">
        <v>14</v>
      </c>
      <c r="F7" t="s">
        <v>9</v>
      </c>
      <c r="G7" t="s">
        <v>10</v>
      </c>
      <c r="N7" s="6" t="s">
        <v>39</v>
      </c>
      <c r="O7">
        <v>0</v>
      </c>
      <c r="P7">
        <v>0</v>
      </c>
      <c r="Q7">
        <v>0</v>
      </c>
      <c r="R7">
        <v>0</v>
      </c>
      <c r="S7">
        <v>0</v>
      </c>
      <c r="T7">
        <v>1538.3</v>
      </c>
      <c r="U7" s="2">
        <v>7883.9</v>
      </c>
      <c r="V7">
        <v>15721.6</v>
      </c>
      <c r="W7">
        <v>88312.6</v>
      </c>
      <c r="X7">
        <v>303927.90000000002</v>
      </c>
      <c r="Y7">
        <v>1476143.5</v>
      </c>
      <c r="Z7">
        <v>3432368.5</v>
      </c>
      <c r="AA7">
        <v>36341896.100000001</v>
      </c>
    </row>
    <row r="8" spans="1:27" x14ac:dyDescent="0.3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N8" s="6" t="s">
        <v>40</v>
      </c>
      <c r="O8">
        <v>6</v>
      </c>
      <c r="P8">
        <v>66</v>
      </c>
      <c r="Q8">
        <v>186</v>
      </c>
      <c r="R8">
        <v>1290</v>
      </c>
      <c r="S8">
        <v>9030</v>
      </c>
      <c r="T8">
        <v>257352</v>
      </c>
      <c r="U8" s="2">
        <v>1511574</v>
      </c>
      <c r="V8">
        <v>3187320</v>
      </c>
      <c r="W8">
        <v>18268242</v>
      </c>
      <c r="X8">
        <v>38432328</v>
      </c>
      <c r="Y8">
        <v>211300176</v>
      </c>
      <c r="Z8">
        <v>450820278</v>
      </c>
      <c r="AA8">
        <v>5119616562</v>
      </c>
    </row>
    <row r="9" spans="1:27" x14ac:dyDescent="0.3">
      <c r="A9" t="s">
        <v>0</v>
      </c>
      <c r="B9">
        <v>576</v>
      </c>
      <c r="C9">
        <v>576</v>
      </c>
      <c r="D9">
        <v>576</v>
      </c>
      <c r="E9">
        <v>576</v>
      </c>
      <c r="F9">
        <v>576</v>
      </c>
      <c r="G9">
        <v>576</v>
      </c>
      <c r="N9" s="6" t="s">
        <v>41</v>
      </c>
      <c r="O9">
        <v>7</v>
      </c>
      <c r="P9">
        <v>59</v>
      </c>
      <c r="Q9">
        <v>166</v>
      </c>
      <c r="R9">
        <v>1013</v>
      </c>
      <c r="S9">
        <v>7127</v>
      </c>
      <c r="T9">
        <v>188443</v>
      </c>
      <c r="U9" s="2">
        <v>1102075</v>
      </c>
      <c r="V9">
        <v>2277919</v>
      </c>
      <c r="W9">
        <v>13110109</v>
      </c>
      <c r="X9">
        <v>27445363</v>
      </c>
      <c r="Y9">
        <v>148690319</v>
      </c>
      <c r="Z9">
        <v>322480350</v>
      </c>
      <c r="AA9">
        <v>3616596232</v>
      </c>
    </row>
    <row r="10" spans="1:27" x14ac:dyDescent="0.3">
      <c r="A10" t="s">
        <v>1</v>
      </c>
      <c r="B10">
        <v>480</v>
      </c>
      <c r="C10">
        <v>480</v>
      </c>
      <c r="D10">
        <v>480</v>
      </c>
      <c r="E10">
        <v>480</v>
      </c>
      <c r="F10">
        <v>480</v>
      </c>
      <c r="G10">
        <v>480</v>
      </c>
    </row>
    <row r="13" spans="1:27" x14ac:dyDescent="0.3">
      <c r="A13" t="s">
        <v>13</v>
      </c>
      <c r="B13" t="s">
        <v>12</v>
      </c>
      <c r="C13" t="s">
        <v>6</v>
      </c>
      <c r="D13" t="s">
        <v>7</v>
      </c>
      <c r="E13" t="s">
        <v>14</v>
      </c>
      <c r="F13" t="s">
        <v>16</v>
      </c>
    </row>
    <row r="14" spans="1:27" x14ac:dyDescent="0.3">
      <c r="A14" t="s">
        <v>27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27" x14ac:dyDescent="0.3">
      <c r="A15" t="s">
        <v>0</v>
      </c>
      <c r="B15">
        <v>19548</v>
      </c>
      <c r="C15">
        <v>19548</v>
      </c>
      <c r="D15">
        <v>19548</v>
      </c>
      <c r="E15">
        <v>19548</v>
      </c>
      <c r="F15">
        <v>19548</v>
      </c>
    </row>
    <row r="16" spans="1:27" x14ac:dyDescent="0.3">
      <c r="A16" t="s">
        <v>1</v>
      </c>
      <c r="B16">
        <v>14859</v>
      </c>
      <c r="C16">
        <v>14859</v>
      </c>
      <c r="D16">
        <v>14859</v>
      </c>
      <c r="E16">
        <v>14859</v>
      </c>
      <c r="F16">
        <v>14859</v>
      </c>
    </row>
    <row r="18" spans="1:10" x14ac:dyDescent="0.3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</row>
    <row r="19" spans="1:10" x14ac:dyDescent="0.3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10" x14ac:dyDescent="0.3">
      <c r="A20" t="s">
        <v>0</v>
      </c>
      <c r="B20">
        <v>6</v>
      </c>
      <c r="C20">
        <v>66</v>
      </c>
      <c r="D20">
        <v>186</v>
      </c>
      <c r="E20">
        <v>1290</v>
      </c>
      <c r="F20">
        <v>9030</v>
      </c>
    </row>
    <row r="21" spans="1:10" x14ac:dyDescent="0.3">
      <c r="A21" t="s">
        <v>1</v>
      </c>
      <c r="B21">
        <v>7</v>
      </c>
      <c r="C21">
        <v>59</v>
      </c>
      <c r="D21">
        <v>166</v>
      </c>
      <c r="E21">
        <v>1013</v>
      </c>
      <c r="F21">
        <v>7127</v>
      </c>
    </row>
    <row r="23" spans="1:10" x14ac:dyDescent="0.3">
      <c r="A23" s="2" t="s">
        <v>29</v>
      </c>
      <c r="B23">
        <v>10000</v>
      </c>
      <c r="C23">
        <v>50000</v>
      </c>
      <c r="D23">
        <v>100000</v>
      </c>
      <c r="E23">
        <v>500000</v>
      </c>
      <c r="F23">
        <v>1000000</v>
      </c>
      <c r="G23">
        <v>5000000</v>
      </c>
      <c r="H23">
        <v>10000000</v>
      </c>
      <c r="I23">
        <v>100000000</v>
      </c>
    </row>
    <row r="24" spans="1:10" x14ac:dyDescent="0.3">
      <c r="A24" t="s">
        <v>27</v>
      </c>
      <c r="B24">
        <v>1538.3</v>
      </c>
      <c r="C24" s="2">
        <v>7883.9</v>
      </c>
      <c r="D24">
        <v>15721.6</v>
      </c>
      <c r="E24">
        <v>88312.6</v>
      </c>
      <c r="F24">
        <v>303927.90000000002</v>
      </c>
      <c r="G24">
        <v>1476143.5</v>
      </c>
      <c r="H24">
        <v>3432368.5</v>
      </c>
      <c r="I24">
        <v>36341896.100000001</v>
      </c>
    </row>
    <row r="25" spans="1:10" x14ac:dyDescent="0.3">
      <c r="A25" t="s">
        <v>0</v>
      </c>
      <c r="B25">
        <v>257352</v>
      </c>
      <c r="C25" s="2">
        <v>1511574</v>
      </c>
      <c r="D25">
        <v>3187320</v>
      </c>
      <c r="E25">
        <v>18268242</v>
      </c>
      <c r="F25">
        <v>38432328</v>
      </c>
      <c r="G25">
        <v>211300176</v>
      </c>
      <c r="H25">
        <v>450820278</v>
      </c>
      <c r="I25">
        <v>5119616562</v>
      </c>
    </row>
    <row r="26" spans="1:10" x14ac:dyDescent="0.3">
      <c r="A26" t="s">
        <v>1</v>
      </c>
      <c r="B26">
        <v>188443</v>
      </c>
      <c r="C26" s="2">
        <v>1102075</v>
      </c>
      <c r="D26">
        <v>2277919</v>
      </c>
      <c r="E26">
        <v>13110109</v>
      </c>
      <c r="F26">
        <v>27445363</v>
      </c>
      <c r="G26">
        <v>148690319</v>
      </c>
      <c r="H26">
        <v>322480350</v>
      </c>
      <c r="I26">
        <v>3616596232</v>
      </c>
    </row>
    <row r="28" spans="1:10" x14ac:dyDescent="0.3">
      <c r="A28" s="1" t="s">
        <v>23</v>
      </c>
      <c r="B28" s="1" t="s">
        <v>31</v>
      </c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t="s">
        <v>3</v>
      </c>
      <c r="B29" t="s">
        <v>4</v>
      </c>
      <c r="C29" t="s">
        <v>5</v>
      </c>
      <c r="D29" t="s">
        <v>15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10" x14ac:dyDescent="0.3">
      <c r="A30" t="s">
        <v>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10" x14ac:dyDescent="0.3">
      <c r="A31" t="s">
        <v>0</v>
      </c>
      <c r="B31">
        <v>0</v>
      </c>
      <c r="C31">
        <v>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</row>
    <row r="32" spans="1:10" x14ac:dyDescent="0.3">
      <c r="A32" t="s">
        <v>1</v>
      </c>
      <c r="B32">
        <v>0</v>
      </c>
      <c r="C32">
        <v>6</v>
      </c>
      <c r="D32">
        <v>32</v>
      </c>
      <c r="E32">
        <v>32</v>
      </c>
      <c r="F32">
        <v>32</v>
      </c>
      <c r="G32">
        <v>32</v>
      </c>
      <c r="H32">
        <v>32</v>
      </c>
      <c r="I32">
        <v>32</v>
      </c>
    </row>
    <row r="34" spans="1:7" x14ac:dyDescent="0.3">
      <c r="A34" t="s">
        <v>11</v>
      </c>
      <c r="B34" t="s">
        <v>12</v>
      </c>
      <c r="C34" t="s">
        <v>6</v>
      </c>
      <c r="D34" t="s">
        <v>7</v>
      </c>
      <c r="E34" t="s">
        <v>14</v>
      </c>
      <c r="F34" t="s">
        <v>9</v>
      </c>
      <c r="G34" t="s">
        <v>10</v>
      </c>
    </row>
    <row r="35" spans="1:7" x14ac:dyDescent="0.3">
      <c r="A35" t="s">
        <v>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">
      <c r="A36" t="s">
        <v>0</v>
      </c>
      <c r="B36">
        <v>286</v>
      </c>
      <c r="C36">
        <v>286</v>
      </c>
      <c r="D36">
        <v>286</v>
      </c>
      <c r="E36">
        <v>286</v>
      </c>
      <c r="F36">
        <v>286</v>
      </c>
      <c r="G36">
        <v>286</v>
      </c>
    </row>
    <row r="37" spans="1:7" x14ac:dyDescent="0.3">
      <c r="A37" t="s">
        <v>1</v>
      </c>
      <c r="B37">
        <v>670</v>
      </c>
      <c r="C37">
        <v>670</v>
      </c>
      <c r="D37">
        <v>670</v>
      </c>
      <c r="E37">
        <v>670</v>
      </c>
      <c r="F37">
        <v>670</v>
      </c>
      <c r="G37">
        <v>670</v>
      </c>
    </row>
    <row r="40" spans="1:7" x14ac:dyDescent="0.3">
      <c r="A40" t="s">
        <v>13</v>
      </c>
      <c r="B40" t="s">
        <v>12</v>
      </c>
      <c r="C40" t="s">
        <v>6</v>
      </c>
      <c r="D40" t="s">
        <v>7</v>
      </c>
      <c r="E40" t="s">
        <v>14</v>
      </c>
      <c r="F40" t="s">
        <v>16</v>
      </c>
    </row>
    <row r="41" spans="1:7" x14ac:dyDescent="0.3">
      <c r="A41" t="s">
        <v>27</v>
      </c>
      <c r="B41">
        <v>0</v>
      </c>
      <c r="C41">
        <v>0</v>
      </c>
      <c r="D41">
        <v>0</v>
      </c>
      <c r="E41">
        <v>0</v>
      </c>
      <c r="F41">
        <v>1001</v>
      </c>
    </row>
    <row r="42" spans="1:7" x14ac:dyDescent="0.3">
      <c r="A42" t="s">
        <v>0</v>
      </c>
      <c r="B42">
        <v>9976</v>
      </c>
      <c r="C42">
        <v>9976</v>
      </c>
      <c r="D42">
        <v>9976</v>
      </c>
      <c r="E42">
        <v>9976</v>
      </c>
      <c r="F42">
        <v>9976</v>
      </c>
    </row>
    <row r="43" spans="1:7" x14ac:dyDescent="0.3">
      <c r="A43" t="s">
        <v>1</v>
      </c>
      <c r="B43">
        <v>21950</v>
      </c>
      <c r="C43">
        <v>21950</v>
      </c>
      <c r="D43">
        <v>21950</v>
      </c>
      <c r="E43">
        <v>21950</v>
      </c>
      <c r="F43">
        <v>21950</v>
      </c>
    </row>
    <row r="45" spans="1:7" x14ac:dyDescent="0.3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</row>
    <row r="46" spans="1:7" x14ac:dyDescent="0.3">
      <c r="A46" t="s">
        <v>27</v>
      </c>
      <c r="B46">
        <v>0</v>
      </c>
      <c r="C46">
        <v>0</v>
      </c>
      <c r="D46">
        <v>0</v>
      </c>
      <c r="E46">
        <v>0</v>
      </c>
      <c r="F46">
        <v>194</v>
      </c>
    </row>
    <row r="47" spans="1:7" x14ac:dyDescent="0.3">
      <c r="A47" t="s">
        <v>0</v>
      </c>
      <c r="B47">
        <v>2</v>
      </c>
      <c r="C47">
        <v>34</v>
      </c>
      <c r="D47">
        <v>88</v>
      </c>
      <c r="E47">
        <v>342</v>
      </c>
      <c r="F47">
        <v>4488</v>
      </c>
    </row>
    <row r="48" spans="1:7" x14ac:dyDescent="0.3">
      <c r="A48" t="s">
        <v>1</v>
      </c>
      <c r="B48">
        <v>6</v>
      </c>
      <c r="C48">
        <v>86</v>
      </c>
      <c r="D48">
        <v>214</v>
      </c>
      <c r="E48">
        <v>798</v>
      </c>
      <c r="F48">
        <v>9974</v>
      </c>
    </row>
    <row r="50" spans="1:9" x14ac:dyDescent="0.3">
      <c r="A50" s="2" t="s">
        <v>23</v>
      </c>
      <c r="B50">
        <v>10000</v>
      </c>
      <c r="C50">
        <v>50000</v>
      </c>
      <c r="D50">
        <v>100000</v>
      </c>
      <c r="E50">
        <v>500000</v>
      </c>
      <c r="F50">
        <v>1000000</v>
      </c>
      <c r="G50">
        <v>5000000</v>
      </c>
      <c r="H50">
        <v>10000000</v>
      </c>
      <c r="I50">
        <v>100000000</v>
      </c>
    </row>
    <row r="51" spans="1:9" x14ac:dyDescent="0.3">
      <c r="A51" t="s">
        <v>27</v>
      </c>
      <c r="B51">
        <v>2805.7</v>
      </c>
      <c r="C51">
        <v>15930.3</v>
      </c>
      <c r="D51">
        <v>33373.300000000003</v>
      </c>
      <c r="E51">
        <v>172368.2</v>
      </c>
      <c r="F51">
        <v>353477.6</v>
      </c>
      <c r="G51" s="2">
        <v>1803179.3</v>
      </c>
      <c r="H51">
        <v>3665871.3</v>
      </c>
      <c r="I51">
        <v>39269367.899999999</v>
      </c>
    </row>
    <row r="52" spans="1:9" x14ac:dyDescent="0.3">
      <c r="A52" t="s">
        <v>0</v>
      </c>
      <c r="B52">
        <v>133616</v>
      </c>
      <c r="C52">
        <v>784464</v>
      </c>
      <c r="D52">
        <v>1668928</v>
      </c>
      <c r="E52">
        <v>9475712</v>
      </c>
      <c r="F52">
        <v>19951424</v>
      </c>
      <c r="G52" s="2">
        <v>111611392</v>
      </c>
      <c r="H52">
        <v>233222784</v>
      </c>
      <c r="I52">
        <v>2665782272</v>
      </c>
    </row>
    <row r="53" spans="1:9" x14ac:dyDescent="0.3">
      <c r="A53" t="s">
        <v>1</v>
      </c>
      <c r="B53">
        <v>287230</v>
      </c>
      <c r="C53">
        <v>1668926</v>
      </c>
      <c r="D53">
        <v>3537854</v>
      </c>
      <c r="E53">
        <v>19951422</v>
      </c>
      <c r="F53">
        <v>41902846</v>
      </c>
      <c r="G53" s="2">
        <v>233222782</v>
      </c>
      <c r="H53">
        <v>486445566</v>
      </c>
      <c r="I53">
        <v>5531564542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56A3-AB30-4882-91DE-F3524190B75D}">
  <dimension ref="A1:L46"/>
  <sheetViews>
    <sheetView zoomScale="70" zoomScaleNormal="70" workbookViewId="0">
      <selection activeCell="I4" sqref="A1:I4"/>
    </sheetView>
  </sheetViews>
  <sheetFormatPr defaultRowHeight="14.4" x14ac:dyDescent="0.3"/>
  <cols>
    <col min="1" max="1" width="16.44140625" customWidth="1"/>
    <col min="2" max="9" width="10.21875" bestFit="1" customWidth="1"/>
    <col min="10" max="12" width="11.21875" bestFit="1" customWidth="1"/>
  </cols>
  <sheetData>
    <row r="1" spans="1:12" x14ac:dyDescent="0.3">
      <c r="A1" s="2" t="s">
        <v>23</v>
      </c>
      <c r="B1">
        <v>10000</v>
      </c>
      <c r="C1">
        <v>50000</v>
      </c>
      <c r="D1">
        <v>100000</v>
      </c>
      <c r="E1">
        <v>500000</v>
      </c>
      <c r="F1">
        <v>1000000</v>
      </c>
      <c r="G1">
        <v>5000000</v>
      </c>
      <c r="H1">
        <v>10000000</v>
      </c>
      <c r="I1">
        <v>100000000</v>
      </c>
      <c r="L1" s="2"/>
    </row>
    <row r="2" spans="1:12" x14ac:dyDescent="0.3">
      <c r="A2" t="s">
        <v>27</v>
      </c>
      <c r="B2">
        <v>2805.7</v>
      </c>
      <c r="C2">
        <v>15930.3</v>
      </c>
      <c r="D2">
        <v>33373.300000000003</v>
      </c>
      <c r="E2">
        <v>172368.2</v>
      </c>
      <c r="F2">
        <v>353477.6</v>
      </c>
      <c r="G2" s="2">
        <v>1803179.3</v>
      </c>
      <c r="H2">
        <v>3665871.3</v>
      </c>
      <c r="I2">
        <v>39269367.899999999</v>
      </c>
      <c r="L2" s="2"/>
    </row>
    <row r="3" spans="1:12" x14ac:dyDescent="0.3">
      <c r="A3" t="s">
        <v>0</v>
      </c>
      <c r="B3">
        <v>133616</v>
      </c>
      <c r="C3">
        <v>784464</v>
      </c>
      <c r="D3">
        <v>1668928</v>
      </c>
      <c r="E3">
        <v>9475712</v>
      </c>
      <c r="F3">
        <v>19951424</v>
      </c>
      <c r="G3" s="2">
        <v>111611392</v>
      </c>
      <c r="H3">
        <v>233222784</v>
      </c>
      <c r="I3">
        <v>2665782272</v>
      </c>
      <c r="L3" s="2"/>
    </row>
    <row r="4" spans="1:12" x14ac:dyDescent="0.3">
      <c r="A4" t="s">
        <v>1</v>
      </c>
      <c r="B4">
        <v>287230</v>
      </c>
      <c r="C4">
        <v>1668926</v>
      </c>
      <c r="D4">
        <v>3537854</v>
      </c>
      <c r="E4">
        <v>19951422</v>
      </c>
      <c r="F4">
        <v>41902846</v>
      </c>
      <c r="G4" s="2">
        <v>233222782</v>
      </c>
      <c r="H4">
        <v>486445566</v>
      </c>
      <c r="I4">
        <v>5531564542</v>
      </c>
      <c r="L4" s="2"/>
    </row>
    <row r="5" spans="1:12" x14ac:dyDescent="0.3">
      <c r="L5" s="2"/>
    </row>
    <row r="6" spans="1:12" x14ac:dyDescent="0.3">
      <c r="A6">
        <v>10000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 s="2" t="s">
        <v>26</v>
      </c>
    </row>
    <row r="7" spans="1:12" x14ac:dyDescent="0.3">
      <c r="A7" t="s">
        <v>27</v>
      </c>
      <c r="B7">
        <v>2995</v>
      </c>
      <c r="C7">
        <v>3002</v>
      </c>
      <c r="D7">
        <v>2993</v>
      </c>
      <c r="E7">
        <v>2831</v>
      </c>
      <c r="F7">
        <v>3119</v>
      </c>
      <c r="G7">
        <v>1995</v>
      </c>
      <c r="H7">
        <v>2992</v>
      </c>
      <c r="I7">
        <v>2997</v>
      </c>
      <c r="J7">
        <v>1994</v>
      </c>
      <c r="K7">
        <v>3139</v>
      </c>
      <c r="L7" s="2">
        <f>AVERAGE(B7:K7)</f>
        <v>2805.7</v>
      </c>
    </row>
    <row r="8" spans="1:12" x14ac:dyDescent="0.3">
      <c r="A8" t="s">
        <v>0</v>
      </c>
      <c r="B8">
        <v>133616</v>
      </c>
      <c r="C8">
        <v>133616</v>
      </c>
      <c r="D8">
        <v>133616</v>
      </c>
      <c r="E8">
        <v>133616</v>
      </c>
      <c r="F8">
        <v>133616</v>
      </c>
      <c r="G8">
        <v>133616</v>
      </c>
      <c r="H8">
        <v>133616</v>
      </c>
      <c r="I8">
        <v>133616</v>
      </c>
      <c r="J8">
        <v>133616</v>
      </c>
      <c r="K8">
        <v>133616</v>
      </c>
      <c r="L8" s="2">
        <f t="shared" ref="L8:L9" si="0">AVERAGE(B8:K8)</f>
        <v>133616</v>
      </c>
    </row>
    <row r="9" spans="1:12" x14ac:dyDescent="0.3">
      <c r="A9" t="s">
        <v>25</v>
      </c>
      <c r="B9">
        <v>287230</v>
      </c>
      <c r="C9">
        <v>287230</v>
      </c>
      <c r="D9">
        <v>287230</v>
      </c>
      <c r="E9">
        <v>287230</v>
      </c>
      <c r="F9">
        <v>287230</v>
      </c>
      <c r="G9">
        <v>287230</v>
      </c>
      <c r="H9">
        <v>287230</v>
      </c>
      <c r="I9">
        <v>287230</v>
      </c>
      <c r="J9">
        <v>287230</v>
      </c>
      <c r="K9">
        <v>287230</v>
      </c>
      <c r="L9" s="2">
        <f t="shared" si="0"/>
        <v>287230</v>
      </c>
    </row>
    <row r="10" spans="1:12" x14ac:dyDescent="0.3">
      <c r="L10" s="2"/>
    </row>
    <row r="11" spans="1:12" x14ac:dyDescent="0.3">
      <c r="A11">
        <v>50000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 s="2" t="s">
        <v>26</v>
      </c>
    </row>
    <row r="12" spans="1:12" x14ac:dyDescent="0.3">
      <c r="A12" t="s">
        <v>27</v>
      </c>
      <c r="B12">
        <v>16129</v>
      </c>
      <c r="C12">
        <v>15722</v>
      </c>
      <c r="D12">
        <v>16973</v>
      </c>
      <c r="E12">
        <v>15810</v>
      </c>
      <c r="F12">
        <v>16236</v>
      </c>
      <c r="G12">
        <v>16279</v>
      </c>
      <c r="H12">
        <v>15112</v>
      </c>
      <c r="I12">
        <v>16096</v>
      </c>
      <c r="J12">
        <v>15146</v>
      </c>
      <c r="K12">
        <v>15800</v>
      </c>
      <c r="L12" s="2">
        <f>AVERAGE(B12:K12)</f>
        <v>15930.3</v>
      </c>
    </row>
    <row r="13" spans="1:12" x14ac:dyDescent="0.3">
      <c r="A13" t="s">
        <v>0</v>
      </c>
      <c r="B13">
        <v>784464</v>
      </c>
      <c r="C13">
        <v>784464</v>
      </c>
      <c r="D13">
        <v>784464</v>
      </c>
      <c r="E13">
        <v>784464</v>
      </c>
      <c r="F13">
        <v>784464</v>
      </c>
      <c r="G13">
        <v>784464</v>
      </c>
      <c r="H13">
        <v>784464</v>
      </c>
      <c r="I13">
        <v>784464</v>
      </c>
      <c r="J13">
        <v>784464</v>
      </c>
      <c r="K13">
        <v>784464</v>
      </c>
      <c r="L13" s="2">
        <f t="shared" ref="L13:L14" si="1">AVERAGE(B13:K13)</f>
        <v>784464</v>
      </c>
    </row>
    <row r="14" spans="1:12" x14ac:dyDescent="0.3">
      <c r="A14" t="s">
        <v>25</v>
      </c>
      <c r="B14">
        <v>1668926</v>
      </c>
      <c r="C14">
        <v>1668926</v>
      </c>
      <c r="D14">
        <v>1668926</v>
      </c>
      <c r="E14">
        <v>1668926</v>
      </c>
      <c r="F14">
        <v>1668926</v>
      </c>
      <c r="G14">
        <v>1668926</v>
      </c>
      <c r="H14">
        <v>1668926</v>
      </c>
      <c r="I14">
        <v>1668926</v>
      </c>
      <c r="J14">
        <v>1668926</v>
      </c>
      <c r="K14">
        <v>1668926</v>
      </c>
      <c r="L14" s="2">
        <f t="shared" si="1"/>
        <v>1668926</v>
      </c>
    </row>
    <row r="15" spans="1:12" x14ac:dyDescent="0.3">
      <c r="L15" s="2"/>
    </row>
    <row r="16" spans="1:12" x14ac:dyDescent="0.3">
      <c r="A16">
        <v>100000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 s="2" t="s">
        <v>26</v>
      </c>
    </row>
    <row r="17" spans="1:12" x14ac:dyDescent="0.3">
      <c r="A17" t="s">
        <v>27</v>
      </c>
      <c r="B17">
        <v>35340</v>
      </c>
      <c r="C17">
        <v>34772</v>
      </c>
      <c r="D17">
        <v>34647</v>
      </c>
      <c r="E17">
        <v>33961</v>
      </c>
      <c r="F17">
        <v>32617</v>
      </c>
      <c r="G17">
        <v>32585</v>
      </c>
      <c r="H17">
        <v>32176</v>
      </c>
      <c r="I17">
        <v>33176</v>
      </c>
      <c r="J17">
        <v>32074</v>
      </c>
      <c r="K17">
        <v>32385</v>
      </c>
      <c r="L17" s="2">
        <f>AVERAGE(B17:K17)</f>
        <v>33373.300000000003</v>
      </c>
    </row>
    <row r="18" spans="1:12" x14ac:dyDescent="0.3">
      <c r="A18" t="s">
        <v>0</v>
      </c>
      <c r="B18">
        <v>1668928</v>
      </c>
      <c r="C18">
        <v>1668928</v>
      </c>
      <c r="D18">
        <v>1668928</v>
      </c>
      <c r="E18">
        <v>1668928</v>
      </c>
      <c r="F18">
        <v>1668928</v>
      </c>
      <c r="G18">
        <v>1668928</v>
      </c>
      <c r="H18">
        <v>1668928</v>
      </c>
      <c r="I18">
        <v>1668928</v>
      </c>
      <c r="J18">
        <v>1668928</v>
      </c>
      <c r="K18">
        <v>1668928</v>
      </c>
      <c r="L18" s="2">
        <f t="shared" ref="L18:L19" si="2">AVERAGE(B18:K18)</f>
        <v>1668928</v>
      </c>
    </row>
    <row r="19" spans="1:12" x14ac:dyDescent="0.3">
      <c r="A19" t="s">
        <v>25</v>
      </c>
      <c r="B19">
        <v>3537854</v>
      </c>
      <c r="C19">
        <v>3537854</v>
      </c>
      <c r="D19">
        <v>3537854</v>
      </c>
      <c r="E19">
        <v>3537854</v>
      </c>
      <c r="F19">
        <v>3537854</v>
      </c>
      <c r="G19">
        <v>3537854</v>
      </c>
      <c r="H19">
        <v>3537854</v>
      </c>
      <c r="I19">
        <v>3537854</v>
      </c>
      <c r="J19">
        <v>3537854</v>
      </c>
      <c r="K19">
        <v>3537854</v>
      </c>
      <c r="L19" s="2">
        <f t="shared" si="2"/>
        <v>3537854</v>
      </c>
    </row>
    <row r="20" spans="1:12" x14ac:dyDescent="0.3">
      <c r="L20" s="2"/>
    </row>
    <row r="21" spans="1:12" x14ac:dyDescent="0.3">
      <c r="A21">
        <v>500000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  <c r="L21" s="2" t="s">
        <v>26</v>
      </c>
    </row>
    <row r="22" spans="1:12" x14ac:dyDescent="0.3">
      <c r="A22" t="s">
        <v>27</v>
      </c>
      <c r="B22">
        <v>167363</v>
      </c>
      <c r="C22">
        <v>169122</v>
      </c>
      <c r="D22">
        <v>168653</v>
      </c>
      <c r="E22">
        <v>170177</v>
      </c>
      <c r="F22">
        <v>170638</v>
      </c>
      <c r="G22">
        <v>179207</v>
      </c>
      <c r="H22">
        <v>172308</v>
      </c>
      <c r="I22">
        <v>169459</v>
      </c>
      <c r="J22">
        <v>184662</v>
      </c>
      <c r="K22">
        <v>172093</v>
      </c>
      <c r="L22" s="2">
        <f>AVERAGE(B22:K22)</f>
        <v>172368.2</v>
      </c>
    </row>
    <row r="23" spans="1:12" x14ac:dyDescent="0.3">
      <c r="A23" t="s">
        <v>0</v>
      </c>
      <c r="B23">
        <v>9475712</v>
      </c>
      <c r="C23">
        <v>9475712</v>
      </c>
      <c r="D23">
        <v>9475712</v>
      </c>
      <c r="E23">
        <v>9475712</v>
      </c>
      <c r="F23">
        <v>9475712</v>
      </c>
      <c r="G23">
        <v>9475712</v>
      </c>
      <c r="H23">
        <v>9475712</v>
      </c>
      <c r="I23">
        <v>9475712</v>
      </c>
      <c r="J23">
        <v>9475712</v>
      </c>
      <c r="K23">
        <v>9475712</v>
      </c>
      <c r="L23" s="2">
        <f t="shared" ref="L23:L24" si="3">AVERAGE(B23:K23)</f>
        <v>9475712</v>
      </c>
    </row>
    <row r="24" spans="1:12" x14ac:dyDescent="0.3">
      <c r="A24" t="s">
        <v>25</v>
      </c>
      <c r="B24">
        <v>19951422</v>
      </c>
      <c r="C24">
        <v>19951422</v>
      </c>
      <c r="D24">
        <v>19951422</v>
      </c>
      <c r="E24">
        <v>19951422</v>
      </c>
      <c r="F24">
        <v>19951422</v>
      </c>
      <c r="G24">
        <v>19951422</v>
      </c>
      <c r="H24">
        <v>19951422</v>
      </c>
      <c r="I24">
        <v>19951422</v>
      </c>
      <c r="J24">
        <v>19951422</v>
      </c>
      <c r="K24">
        <v>19951422</v>
      </c>
      <c r="L24" s="2">
        <f t="shared" si="3"/>
        <v>19951422</v>
      </c>
    </row>
    <row r="25" spans="1:12" x14ac:dyDescent="0.3">
      <c r="L25" s="2"/>
    </row>
    <row r="26" spans="1:12" x14ac:dyDescent="0.3">
      <c r="L26" s="2"/>
    </row>
    <row r="27" spans="1:12" x14ac:dyDescent="0.3">
      <c r="A27">
        <v>1000000</v>
      </c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  <c r="K27">
        <v>10</v>
      </c>
      <c r="L27" s="2" t="s">
        <v>26</v>
      </c>
    </row>
    <row r="28" spans="1:12" x14ac:dyDescent="0.3">
      <c r="A28" t="s">
        <v>27</v>
      </c>
      <c r="B28">
        <v>344829</v>
      </c>
      <c r="C28">
        <v>347146</v>
      </c>
      <c r="D28">
        <v>350797</v>
      </c>
      <c r="E28">
        <v>349184</v>
      </c>
      <c r="F28">
        <v>399895</v>
      </c>
      <c r="G28">
        <v>348343</v>
      </c>
      <c r="H28">
        <v>346150</v>
      </c>
      <c r="I28">
        <v>359342</v>
      </c>
      <c r="J28">
        <v>345381</v>
      </c>
      <c r="K28">
        <v>343709</v>
      </c>
      <c r="L28" s="2">
        <f>AVERAGE(B28:K28)</f>
        <v>353477.6</v>
      </c>
    </row>
    <row r="29" spans="1:12" x14ac:dyDescent="0.3">
      <c r="A29" t="s">
        <v>0</v>
      </c>
      <c r="B29">
        <v>19951424</v>
      </c>
      <c r="C29">
        <v>19951424</v>
      </c>
      <c r="D29">
        <v>19951424</v>
      </c>
      <c r="E29">
        <v>19951424</v>
      </c>
      <c r="F29">
        <v>19951424</v>
      </c>
      <c r="G29">
        <v>19951424</v>
      </c>
      <c r="H29">
        <v>19951424</v>
      </c>
      <c r="I29">
        <v>19951424</v>
      </c>
      <c r="J29">
        <v>19951424</v>
      </c>
      <c r="K29">
        <v>19951424</v>
      </c>
      <c r="L29" s="2">
        <f t="shared" ref="L29:L30" si="4">AVERAGE(B29:K29)</f>
        <v>19951424</v>
      </c>
    </row>
    <row r="30" spans="1:12" x14ac:dyDescent="0.3">
      <c r="A30" t="s">
        <v>25</v>
      </c>
      <c r="B30">
        <v>41902846</v>
      </c>
      <c r="C30">
        <v>41902846</v>
      </c>
      <c r="D30">
        <v>41902846</v>
      </c>
      <c r="E30">
        <v>41902846</v>
      </c>
      <c r="F30">
        <v>41902846</v>
      </c>
      <c r="G30">
        <v>41902846</v>
      </c>
      <c r="H30">
        <v>41902846</v>
      </c>
      <c r="I30">
        <v>41902846</v>
      </c>
      <c r="J30">
        <v>41902846</v>
      </c>
      <c r="K30">
        <v>41902846</v>
      </c>
      <c r="L30" s="2">
        <f t="shared" si="4"/>
        <v>41902846</v>
      </c>
    </row>
    <row r="31" spans="1:12" x14ac:dyDescent="0.3">
      <c r="L31" s="2"/>
    </row>
    <row r="32" spans="1:12" x14ac:dyDescent="0.3">
      <c r="L32" s="2"/>
    </row>
    <row r="33" spans="1:12" x14ac:dyDescent="0.3">
      <c r="A33">
        <v>5000000</v>
      </c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 s="2"/>
    </row>
    <row r="34" spans="1:12" x14ac:dyDescent="0.3">
      <c r="A34" t="s">
        <v>27</v>
      </c>
      <c r="B34">
        <v>1829156</v>
      </c>
      <c r="C34">
        <v>1792244</v>
      </c>
      <c r="D34">
        <v>1802498</v>
      </c>
      <c r="E34">
        <v>1797693</v>
      </c>
      <c r="F34">
        <v>1809111</v>
      </c>
      <c r="G34">
        <v>1782761</v>
      </c>
      <c r="H34">
        <v>1813223</v>
      </c>
      <c r="I34">
        <v>1798618</v>
      </c>
      <c r="J34">
        <v>1805953</v>
      </c>
      <c r="K34">
        <v>1800536</v>
      </c>
      <c r="L34" s="2">
        <f>AVERAGE(B34:K34)</f>
        <v>1803179.3</v>
      </c>
    </row>
    <row r="35" spans="1:12" x14ac:dyDescent="0.3">
      <c r="A35" t="s">
        <v>0</v>
      </c>
      <c r="B35">
        <v>111611392</v>
      </c>
      <c r="C35">
        <v>111611392</v>
      </c>
      <c r="D35">
        <v>111611392</v>
      </c>
      <c r="E35">
        <v>111611392</v>
      </c>
      <c r="F35">
        <v>111611392</v>
      </c>
      <c r="G35">
        <v>111611392</v>
      </c>
      <c r="H35">
        <v>111611392</v>
      </c>
      <c r="I35">
        <v>111611392</v>
      </c>
      <c r="J35">
        <v>111611392</v>
      </c>
      <c r="K35">
        <v>111611392</v>
      </c>
      <c r="L35" s="2">
        <f t="shared" ref="L35" si="5">AVERAGE(B35:K35)</f>
        <v>111611392</v>
      </c>
    </row>
    <row r="36" spans="1:12" x14ac:dyDescent="0.3">
      <c r="A36" t="s">
        <v>25</v>
      </c>
      <c r="B36">
        <v>233222782</v>
      </c>
      <c r="C36">
        <v>233222782</v>
      </c>
      <c r="D36">
        <v>233222782</v>
      </c>
      <c r="E36">
        <v>233222782</v>
      </c>
      <c r="F36">
        <v>233222782</v>
      </c>
      <c r="G36">
        <v>233222782</v>
      </c>
      <c r="H36">
        <v>233222782</v>
      </c>
      <c r="I36">
        <v>233222782</v>
      </c>
      <c r="J36">
        <v>233222782</v>
      </c>
      <c r="K36">
        <v>233222782</v>
      </c>
      <c r="L36" s="2">
        <f>AVERAGE(B36:K36)</f>
        <v>233222782</v>
      </c>
    </row>
    <row r="37" spans="1:12" x14ac:dyDescent="0.3">
      <c r="L37" s="2"/>
    </row>
    <row r="38" spans="1:12" x14ac:dyDescent="0.3">
      <c r="A38">
        <v>10000000</v>
      </c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 s="2"/>
    </row>
    <row r="39" spans="1:12" x14ac:dyDescent="0.3">
      <c r="A39" t="s">
        <v>27</v>
      </c>
      <c r="B39">
        <v>3693506</v>
      </c>
      <c r="C39">
        <v>3669355</v>
      </c>
      <c r="D39">
        <v>3690134</v>
      </c>
      <c r="E39">
        <v>3626388</v>
      </c>
      <c r="F39">
        <v>3655079</v>
      </c>
      <c r="G39">
        <v>3665314</v>
      </c>
      <c r="H39">
        <v>3673707</v>
      </c>
      <c r="I39">
        <v>3631328</v>
      </c>
      <c r="J39">
        <v>3689870</v>
      </c>
      <c r="K39">
        <v>3664032</v>
      </c>
      <c r="L39" s="2">
        <f>AVERAGE(B39:K39)</f>
        <v>3665871.3</v>
      </c>
    </row>
    <row r="40" spans="1:12" x14ac:dyDescent="0.3">
      <c r="A40" t="s">
        <v>0</v>
      </c>
      <c r="B40">
        <v>233222784</v>
      </c>
      <c r="C40">
        <v>233222784</v>
      </c>
      <c r="D40">
        <v>233222784</v>
      </c>
      <c r="E40">
        <v>233222784</v>
      </c>
      <c r="F40">
        <v>233222784</v>
      </c>
      <c r="G40">
        <v>233222784</v>
      </c>
      <c r="H40">
        <v>233222784</v>
      </c>
      <c r="I40">
        <v>233222784</v>
      </c>
      <c r="J40">
        <v>233222784</v>
      </c>
      <c r="K40">
        <v>233222784</v>
      </c>
      <c r="L40" s="2">
        <f t="shared" ref="L40" si="6">AVERAGE(B40:K40)</f>
        <v>233222784</v>
      </c>
    </row>
    <row r="41" spans="1:12" x14ac:dyDescent="0.3">
      <c r="A41" t="s">
        <v>25</v>
      </c>
      <c r="B41">
        <v>486445566</v>
      </c>
      <c r="C41">
        <v>486445566</v>
      </c>
      <c r="D41">
        <v>486445566</v>
      </c>
      <c r="E41">
        <v>486445566</v>
      </c>
      <c r="F41">
        <v>486445566</v>
      </c>
      <c r="G41">
        <v>486445566</v>
      </c>
      <c r="H41">
        <v>486445566</v>
      </c>
      <c r="I41">
        <v>486445566</v>
      </c>
      <c r="J41">
        <v>486445566</v>
      </c>
      <c r="K41">
        <v>486445566</v>
      </c>
      <c r="L41" s="2">
        <f>AVERAGE(B41:K41)</f>
        <v>486445566</v>
      </c>
    </row>
    <row r="42" spans="1:12" x14ac:dyDescent="0.3">
      <c r="L42" s="2"/>
    </row>
    <row r="43" spans="1:12" x14ac:dyDescent="0.3">
      <c r="A43">
        <v>100000000</v>
      </c>
      <c r="B43">
        <v>1</v>
      </c>
      <c r="C43">
        <v>2</v>
      </c>
      <c r="D43">
        <v>3</v>
      </c>
      <c r="E43">
        <v>4</v>
      </c>
      <c r="F43">
        <v>5</v>
      </c>
      <c r="G43">
        <v>6</v>
      </c>
      <c r="H43">
        <v>7</v>
      </c>
      <c r="I43">
        <v>8</v>
      </c>
      <c r="J43">
        <v>9</v>
      </c>
      <c r="K43">
        <v>10</v>
      </c>
      <c r="L43" s="2"/>
    </row>
    <row r="44" spans="1:12" x14ac:dyDescent="0.3">
      <c r="A44" t="s">
        <v>27</v>
      </c>
      <c r="B44">
        <v>39074356</v>
      </c>
      <c r="C44">
        <v>38997169</v>
      </c>
      <c r="D44">
        <v>39477947</v>
      </c>
      <c r="E44">
        <v>39344916</v>
      </c>
      <c r="F44">
        <v>39259622</v>
      </c>
      <c r="G44">
        <v>39172568</v>
      </c>
      <c r="H44">
        <v>39250665</v>
      </c>
      <c r="I44">
        <v>39515112</v>
      </c>
      <c r="J44">
        <v>39110557</v>
      </c>
      <c r="K44">
        <v>39490767</v>
      </c>
      <c r="L44" s="2">
        <f>AVERAGE(B44:K44)</f>
        <v>39269367.899999999</v>
      </c>
    </row>
    <row r="45" spans="1:12" x14ac:dyDescent="0.3">
      <c r="A45" t="s">
        <v>0</v>
      </c>
      <c r="B45">
        <v>2665782272</v>
      </c>
      <c r="C45">
        <v>2665782272</v>
      </c>
      <c r="D45">
        <v>2665782272</v>
      </c>
      <c r="E45">
        <v>2665782272</v>
      </c>
      <c r="F45">
        <v>2665782272</v>
      </c>
      <c r="G45">
        <v>2665782272</v>
      </c>
      <c r="H45">
        <v>2665782272</v>
      </c>
      <c r="I45">
        <v>2665782272</v>
      </c>
      <c r="J45">
        <v>2665782272</v>
      </c>
      <c r="K45">
        <v>2665782272</v>
      </c>
      <c r="L45" s="2">
        <f t="shared" ref="L45" si="7">AVERAGE(B45:K45)</f>
        <v>2665782272</v>
      </c>
    </row>
    <row r="46" spans="1:12" x14ac:dyDescent="0.3">
      <c r="A46" t="s">
        <v>25</v>
      </c>
      <c r="B46">
        <v>5531564542</v>
      </c>
      <c r="C46">
        <v>5531564542</v>
      </c>
      <c r="D46">
        <v>5531564542</v>
      </c>
      <c r="E46">
        <v>5531564542</v>
      </c>
      <c r="F46">
        <v>5531564542</v>
      </c>
      <c r="G46">
        <v>5531564542</v>
      </c>
      <c r="H46">
        <v>5531564542</v>
      </c>
      <c r="I46">
        <v>5531564542</v>
      </c>
      <c r="J46">
        <v>5531564542</v>
      </c>
      <c r="K46">
        <v>5531564542</v>
      </c>
      <c r="L46" s="2">
        <f>AVERAGE(B46:K46)</f>
        <v>5531564542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F2AF-EC92-4941-9E11-96262B3634AF}">
  <dimension ref="A1:L46"/>
  <sheetViews>
    <sheetView topLeftCell="A13" zoomScale="70" zoomScaleNormal="70" workbookViewId="0">
      <selection activeCell="I1" sqref="B1:I1"/>
    </sheetView>
  </sheetViews>
  <sheetFormatPr defaultRowHeight="14.4" x14ac:dyDescent="0.3"/>
  <cols>
    <col min="1" max="1" width="17.88671875" customWidth="1"/>
    <col min="2" max="2" width="12" bestFit="1" customWidth="1"/>
    <col min="3" max="3" width="10" bestFit="1" customWidth="1"/>
    <col min="4" max="4" width="11" bestFit="1" customWidth="1"/>
    <col min="5" max="5" width="12" bestFit="1" customWidth="1"/>
    <col min="6" max="6" width="10" customWidth="1"/>
    <col min="7" max="9" width="11.21875" bestFit="1" customWidth="1"/>
    <col min="10" max="10" width="10" bestFit="1" customWidth="1"/>
    <col min="11" max="11" width="8.44140625" customWidth="1"/>
    <col min="12" max="12" width="15.6640625" style="2" customWidth="1"/>
  </cols>
  <sheetData>
    <row r="1" spans="1:12" x14ac:dyDescent="0.3">
      <c r="A1" s="2" t="s">
        <v>29</v>
      </c>
      <c r="B1">
        <v>10000</v>
      </c>
      <c r="C1">
        <v>50000</v>
      </c>
      <c r="D1">
        <v>100000</v>
      </c>
      <c r="E1">
        <v>500000</v>
      </c>
      <c r="F1">
        <v>1000000</v>
      </c>
      <c r="G1">
        <v>5000000</v>
      </c>
      <c r="H1">
        <v>10000000</v>
      </c>
      <c r="I1">
        <v>100000000</v>
      </c>
    </row>
    <row r="2" spans="1:12" x14ac:dyDescent="0.3">
      <c r="A2" t="s">
        <v>27</v>
      </c>
      <c r="B2">
        <v>1538.3</v>
      </c>
      <c r="C2" s="2">
        <v>7883.9</v>
      </c>
      <c r="D2">
        <v>15721.6</v>
      </c>
      <c r="E2">
        <v>88312.6</v>
      </c>
      <c r="F2">
        <v>303927.90000000002</v>
      </c>
      <c r="G2">
        <v>1476143.5</v>
      </c>
      <c r="H2">
        <v>3432368.5</v>
      </c>
      <c r="I2">
        <v>36341896.100000001</v>
      </c>
    </row>
    <row r="3" spans="1:12" x14ac:dyDescent="0.3">
      <c r="A3" t="s">
        <v>0</v>
      </c>
      <c r="B3">
        <v>257352</v>
      </c>
      <c r="C3" s="2">
        <v>1511574</v>
      </c>
      <c r="D3">
        <v>3187320</v>
      </c>
      <c r="E3">
        <v>18268242</v>
      </c>
      <c r="F3">
        <v>38432328</v>
      </c>
      <c r="G3">
        <v>211300176</v>
      </c>
      <c r="H3">
        <v>450820278</v>
      </c>
      <c r="I3">
        <v>5119616562</v>
      </c>
    </row>
    <row r="4" spans="1:12" x14ac:dyDescent="0.3">
      <c r="A4" t="s">
        <v>1</v>
      </c>
      <c r="B4">
        <v>188443</v>
      </c>
      <c r="C4" s="2">
        <v>1102075</v>
      </c>
      <c r="D4">
        <v>2277919</v>
      </c>
      <c r="E4">
        <v>13110109</v>
      </c>
      <c r="F4">
        <v>27445363</v>
      </c>
      <c r="G4">
        <v>148690319</v>
      </c>
      <c r="H4">
        <v>322480350</v>
      </c>
      <c r="I4">
        <v>3616596232</v>
      </c>
    </row>
    <row r="6" spans="1:12" x14ac:dyDescent="0.3">
      <c r="A6">
        <v>10000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 s="2" t="s">
        <v>26</v>
      </c>
    </row>
    <row r="7" spans="1:12" x14ac:dyDescent="0.3">
      <c r="A7" t="s">
        <v>27</v>
      </c>
      <c r="B7">
        <v>995</v>
      </c>
      <c r="C7">
        <v>2006</v>
      </c>
      <c r="D7">
        <v>1003</v>
      </c>
      <c r="E7">
        <v>997</v>
      </c>
      <c r="F7">
        <v>2161</v>
      </c>
      <c r="G7">
        <v>2270</v>
      </c>
      <c r="H7">
        <v>1994</v>
      </c>
      <c r="I7">
        <v>1824</v>
      </c>
      <c r="J7">
        <v>997</v>
      </c>
      <c r="K7">
        <v>1136</v>
      </c>
      <c r="L7" s="2">
        <f>AVERAGE(B7:K7)</f>
        <v>1538.3</v>
      </c>
    </row>
    <row r="8" spans="1:12" x14ac:dyDescent="0.3">
      <c r="A8" t="s">
        <v>0</v>
      </c>
      <c r="B8">
        <v>257352</v>
      </c>
      <c r="C8">
        <v>257352</v>
      </c>
      <c r="D8">
        <v>257352</v>
      </c>
      <c r="E8">
        <v>257352</v>
      </c>
      <c r="F8">
        <v>257352</v>
      </c>
      <c r="G8">
        <v>257352</v>
      </c>
      <c r="H8">
        <v>257352</v>
      </c>
      <c r="I8">
        <v>257352</v>
      </c>
      <c r="J8">
        <v>257352</v>
      </c>
      <c r="K8">
        <v>257352</v>
      </c>
      <c r="L8" s="2">
        <f t="shared" ref="L8:L9" si="0">AVERAGE(B8:K8)</f>
        <v>257352</v>
      </c>
    </row>
    <row r="9" spans="1:12" x14ac:dyDescent="0.3">
      <c r="A9" t="s">
        <v>25</v>
      </c>
      <c r="B9">
        <v>188443</v>
      </c>
      <c r="C9">
        <v>188443</v>
      </c>
      <c r="D9">
        <v>188443</v>
      </c>
      <c r="E9">
        <v>188443</v>
      </c>
      <c r="F9">
        <v>188443</v>
      </c>
      <c r="G9">
        <v>188443</v>
      </c>
      <c r="H9">
        <v>188443</v>
      </c>
      <c r="I9">
        <v>188443</v>
      </c>
      <c r="J9">
        <v>188443</v>
      </c>
      <c r="K9">
        <v>188443</v>
      </c>
      <c r="L9" s="2">
        <f t="shared" si="0"/>
        <v>188443</v>
      </c>
    </row>
    <row r="11" spans="1:12" x14ac:dyDescent="0.3">
      <c r="A11">
        <v>50000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 s="2" t="s">
        <v>26</v>
      </c>
    </row>
    <row r="12" spans="1:12" x14ac:dyDescent="0.3">
      <c r="A12" t="s">
        <v>27</v>
      </c>
      <c r="B12">
        <v>7125</v>
      </c>
      <c r="C12">
        <v>8661</v>
      </c>
      <c r="D12">
        <v>7295</v>
      </c>
      <c r="E12">
        <v>7249</v>
      </c>
      <c r="F12">
        <v>7956</v>
      </c>
      <c r="G12">
        <v>8634</v>
      </c>
      <c r="H12">
        <v>8126</v>
      </c>
      <c r="I12">
        <v>8677</v>
      </c>
      <c r="J12">
        <v>7112</v>
      </c>
      <c r="K12">
        <v>8004</v>
      </c>
      <c r="L12" s="2">
        <f>AVERAGE(B12:K12)</f>
        <v>7883.9</v>
      </c>
    </row>
    <row r="13" spans="1:12" x14ac:dyDescent="0.3">
      <c r="A13" t="s">
        <v>0</v>
      </c>
      <c r="B13">
        <v>1511574</v>
      </c>
      <c r="C13">
        <v>1511574</v>
      </c>
      <c r="D13">
        <v>1511574</v>
      </c>
      <c r="E13">
        <v>1511574</v>
      </c>
      <c r="F13">
        <v>1511574</v>
      </c>
      <c r="G13">
        <v>1511574</v>
      </c>
      <c r="H13">
        <v>1511574</v>
      </c>
      <c r="I13">
        <v>1511574</v>
      </c>
      <c r="J13">
        <v>1511574</v>
      </c>
      <c r="K13">
        <v>1511574</v>
      </c>
      <c r="L13" s="2">
        <f t="shared" ref="L13:L14" si="1">AVERAGE(B13:K13)</f>
        <v>1511574</v>
      </c>
    </row>
    <row r="14" spans="1:12" x14ac:dyDescent="0.3">
      <c r="A14" t="s">
        <v>25</v>
      </c>
      <c r="B14">
        <v>1102075</v>
      </c>
      <c r="C14">
        <v>1102075</v>
      </c>
      <c r="D14">
        <v>1102075</v>
      </c>
      <c r="E14">
        <v>1102075</v>
      </c>
      <c r="F14">
        <v>1102075</v>
      </c>
      <c r="G14">
        <v>1102075</v>
      </c>
      <c r="H14">
        <v>1102075</v>
      </c>
      <c r="I14">
        <v>1102075</v>
      </c>
      <c r="J14">
        <v>1102075</v>
      </c>
      <c r="K14">
        <v>1102075</v>
      </c>
      <c r="L14" s="2">
        <f t="shared" si="1"/>
        <v>1102075</v>
      </c>
    </row>
    <row r="16" spans="1:12" x14ac:dyDescent="0.3">
      <c r="A16">
        <v>100000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 s="2" t="s">
        <v>26</v>
      </c>
    </row>
    <row r="17" spans="1:12" x14ac:dyDescent="0.3">
      <c r="A17" t="s">
        <v>27</v>
      </c>
      <c r="B17">
        <v>14719</v>
      </c>
      <c r="C17">
        <v>15107</v>
      </c>
      <c r="D17">
        <v>20290</v>
      </c>
      <c r="E17">
        <v>14593</v>
      </c>
      <c r="F17">
        <v>15222</v>
      </c>
      <c r="G17">
        <v>16320</v>
      </c>
      <c r="H17">
        <v>15527</v>
      </c>
      <c r="I17">
        <v>15181</v>
      </c>
      <c r="J17">
        <v>15079</v>
      </c>
      <c r="K17">
        <v>15178</v>
      </c>
      <c r="L17" s="2">
        <f>AVERAGE(B17:K17)</f>
        <v>15721.6</v>
      </c>
    </row>
    <row r="18" spans="1:12" x14ac:dyDescent="0.3">
      <c r="A18" t="s">
        <v>0</v>
      </c>
      <c r="B18">
        <v>3187320</v>
      </c>
      <c r="C18">
        <v>3187320</v>
      </c>
      <c r="D18">
        <v>3187320</v>
      </c>
      <c r="E18">
        <v>3187320</v>
      </c>
      <c r="F18">
        <v>3187320</v>
      </c>
      <c r="G18">
        <v>3187320</v>
      </c>
      <c r="H18">
        <v>3187320</v>
      </c>
      <c r="I18">
        <v>3187320</v>
      </c>
      <c r="J18">
        <v>3187320</v>
      </c>
      <c r="K18">
        <v>3187320</v>
      </c>
      <c r="L18" s="2">
        <f t="shared" ref="L18:L19" si="2">AVERAGE(B18:K18)</f>
        <v>3187320</v>
      </c>
    </row>
    <row r="19" spans="1:12" x14ac:dyDescent="0.3">
      <c r="A19" t="s">
        <v>25</v>
      </c>
      <c r="B19">
        <v>2277919</v>
      </c>
      <c r="C19">
        <v>2277919</v>
      </c>
      <c r="D19">
        <v>2277919</v>
      </c>
      <c r="E19">
        <v>2277919</v>
      </c>
      <c r="F19">
        <v>2277919</v>
      </c>
      <c r="G19">
        <v>2277919</v>
      </c>
      <c r="H19">
        <v>2277919</v>
      </c>
      <c r="I19">
        <v>2277919</v>
      </c>
      <c r="J19">
        <v>2277919</v>
      </c>
      <c r="K19">
        <v>2277919</v>
      </c>
      <c r="L19" s="2">
        <f t="shared" si="2"/>
        <v>2277919</v>
      </c>
    </row>
    <row r="21" spans="1:12" x14ac:dyDescent="0.3">
      <c r="A21">
        <v>500000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  <c r="L21" s="2" t="s">
        <v>26</v>
      </c>
    </row>
    <row r="22" spans="1:12" x14ac:dyDescent="0.3">
      <c r="A22" t="s">
        <v>27</v>
      </c>
      <c r="B22">
        <v>87077</v>
      </c>
      <c r="C22">
        <v>90507</v>
      </c>
      <c r="D22">
        <v>85870</v>
      </c>
      <c r="E22">
        <v>84278</v>
      </c>
      <c r="F22">
        <v>84956</v>
      </c>
      <c r="G22">
        <v>85604</v>
      </c>
      <c r="H22">
        <v>87523</v>
      </c>
      <c r="I22">
        <v>87362</v>
      </c>
      <c r="J22">
        <v>103077</v>
      </c>
      <c r="K22">
        <v>86872</v>
      </c>
      <c r="L22" s="2">
        <f>AVERAGE(B22:K22)</f>
        <v>88312.6</v>
      </c>
    </row>
    <row r="23" spans="1:12" x14ac:dyDescent="0.3">
      <c r="A23" t="s">
        <v>0</v>
      </c>
      <c r="B23">
        <v>18268242</v>
      </c>
      <c r="C23">
        <v>18268242</v>
      </c>
      <c r="D23">
        <v>18268242</v>
      </c>
      <c r="E23">
        <v>18268242</v>
      </c>
      <c r="F23">
        <v>18268242</v>
      </c>
      <c r="G23">
        <v>18268242</v>
      </c>
      <c r="H23">
        <v>18268242</v>
      </c>
      <c r="I23">
        <v>18268242</v>
      </c>
      <c r="J23">
        <v>18268242</v>
      </c>
      <c r="K23">
        <v>18268242</v>
      </c>
      <c r="L23" s="2">
        <f t="shared" ref="L23:L24" si="3">AVERAGE(B23:K23)</f>
        <v>18268242</v>
      </c>
    </row>
    <row r="24" spans="1:12" x14ac:dyDescent="0.3">
      <c r="A24" t="s">
        <v>25</v>
      </c>
      <c r="B24">
        <v>13110109</v>
      </c>
      <c r="C24">
        <v>13110109</v>
      </c>
      <c r="D24">
        <v>13110109</v>
      </c>
      <c r="E24">
        <v>13110109</v>
      </c>
      <c r="F24">
        <v>13110109</v>
      </c>
      <c r="G24">
        <v>13110109</v>
      </c>
      <c r="H24">
        <v>13110109</v>
      </c>
      <c r="I24">
        <v>13110109</v>
      </c>
      <c r="J24">
        <v>13110109</v>
      </c>
      <c r="K24">
        <v>13110109</v>
      </c>
      <c r="L24" s="2">
        <f t="shared" si="3"/>
        <v>13110109</v>
      </c>
    </row>
    <row r="27" spans="1:12" x14ac:dyDescent="0.3">
      <c r="A27">
        <v>1000000</v>
      </c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  <c r="K27">
        <v>10</v>
      </c>
    </row>
    <row r="28" spans="1:12" x14ac:dyDescent="0.3">
      <c r="A28" t="s">
        <v>27</v>
      </c>
      <c r="B28">
        <v>278216</v>
      </c>
      <c r="C28">
        <v>302113</v>
      </c>
      <c r="D28">
        <v>307716</v>
      </c>
      <c r="E28">
        <v>304703</v>
      </c>
      <c r="F28">
        <v>303909</v>
      </c>
      <c r="G28">
        <v>311175</v>
      </c>
      <c r="H28">
        <v>310011</v>
      </c>
      <c r="I28">
        <v>314241</v>
      </c>
      <c r="J28">
        <v>302407</v>
      </c>
      <c r="K28">
        <v>304788</v>
      </c>
      <c r="L28" s="2">
        <f>AVERAGE(B28:K28)</f>
        <v>303927.90000000002</v>
      </c>
    </row>
    <row r="29" spans="1:12" x14ac:dyDescent="0.3">
      <c r="A29" t="s">
        <v>0</v>
      </c>
      <c r="B29">
        <v>38432328</v>
      </c>
      <c r="C29">
        <v>38432328</v>
      </c>
      <c r="D29">
        <v>38432328</v>
      </c>
      <c r="E29">
        <v>38432328</v>
      </c>
      <c r="F29">
        <v>38432328</v>
      </c>
      <c r="G29">
        <v>38432328</v>
      </c>
      <c r="H29">
        <v>38432328</v>
      </c>
      <c r="I29">
        <v>38432328</v>
      </c>
      <c r="J29">
        <v>38432328</v>
      </c>
      <c r="K29">
        <v>38432328</v>
      </c>
      <c r="L29" s="2">
        <f t="shared" ref="L29:L30" si="4">AVERAGE(B29:K29)</f>
        <v>38432328</v>
      </c>
    </row>
    <row r="30" spans="1:12" x14ac:dyDescent="0.3">
      <c r="A30" t="s">
        <v>25</v>
      </c>
      <c r="B30">
        <v>27445363</v>
      </c>
      <c r="C30">
        <v>27445363</v>
      </c>
      <c r="D30">
        <v>27445363</v>
      </c>
      <c r="E30">
        <v>27445363</v>
      </c>
      <c r="F30">
        <v>27445363</v>
      </c>
      <c r="G30">
        <v>27445363</v>
      </c>
      <c r="H30">
        <v>27445363</v>
      </c>
      <c r="I30">
        <v>27445363</v>
      </c>
      <c r="J30">
        <v>27445363</v>
      </c>
      <c r="K30">
        <v>27445363</v>
      </c>
      <c r="L30" s="2">
        <f t="shared" si="4"/>
        <v>27445363</v>
      </c>
    </row>
    <row r="33" spans="1:12" x14ac:dyDescent="0.3">
      <c r="A33">
        <v>5000000</v>
      </c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</row>
    <row r="34" spans="1:12" x14ac:dyDescent="0.3">
      <c r="A34" t="s">
        <v>27</v>
      </c>
      <c r="B34">
        <v>1481559</v>
      </c>
      <c r="C34">
        <v>1467995</v>
      </c>
      <c r="D34">
        <v>1578524</v>
      </c>
      <c r="E34">
        <v>1455499</v>
      </c>
      <c r="F34">
        <v>1462672</v>
      </c>
      <c r="G34">
        <v>1464654</v>
      </c>
      <c r="H34">
        <v>1451236</v>
      </c>
      <c r="I34">
        <v>1478563</v>
      </c>
      <c r="J34">
        <v>1460770</v>
      </c>
      <c r="K34">
        <v>1459963</v>
      </c>
      <c r="L34" s="2">
        <f>AVERAGE(B34:K34)</f>
        <v>1476143.5</v>
      </c>
    </row>
    <row r="35" spans="1:12" x14ac:dyDescent="0.3">
      <c r="A35" t="s">
        <v>0</v>
      </c>
      <c r="B35">
        <v>211300176</v>
      </c>
      <c r="C35">
        <v>211300176</v>
      </c>
      <c r="D35">
        <v>211300176</v>
      </c>
      <c r="E35">
        <v>211300176</v>
      </c>
      <c r="F35">
        <v>211300176</v>
      </c>
      <c r="G35">
        <v>211300176</v>
      </c>
      <c r="H35">
        <v>211300176</v>
      </c>
      <c r="I35">
        <v>211300176</v>
      </c>
      <c r="J35">
        <v>211300176</v>
      </c>
      <c r="K35">
        <v>211300176</v>
      </c>
      <c r="L35" s="2">
        <f t="shared" ref="L35" si="5">AVERAGE(B35:K35)</f>
        <v>211300176</v>
      </c>
    </row>
    <row r="36" spans="1:12" x14ac:dyDescent="0.3">
      <c r="A36" t="s">
        <v>25</v>
      </c>
      <c r="B36">
        <v>148690319</v>
      </c>
      <c r="C36">
        <v>148690319</v>
      </c>
      <c r="D36">
        <v>148690319</v>
      </c>
      <c r="E36">
        <v>148690319</v>
      </c>
      <c r="F36">
        <v>148690319</v>
      </c>
      <c r="G36">
        <v>148690319</v>
      </c>
      <c r="H36">
        <v>148690319</v>
      </c>
      <c r="I36">
        <v>148690319</v>
      </c>
      <c r="J36">
        <v>148690319</v>
      </c>
      <c r="K36">
        <v>148690319</v>
      </c>
      <c r="L36" s="2">
        <f>AVERAGE(B36:K36)</f>
        <v>148690319</v>
      </c>
    </row>
    <row r="38" spans="1:12" x14ac:dyDescent="0.3">
      <c r="A38">
        <v>10000000</v>
      </c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</row>
    <row r="39" spans="1:12" x14ac:dyDescent="0.3">
      <c r="A39" t="s">
        <v>27</v>
      </c>
      <c r="B39">
        <v>3433323</v>
      </c>
      <c r="C39">
        <v>3471632</v>
      </c>
      <c r="D39">
        <v>3430598</v>
      </c>
      <c r="E39">
        <v>3398913</v>
      </c>
      <c r="F39">
        <v>3373883</v>
      </c>
      <c r="G39">
        <v>3389653</v>
      </c>
      <c r="H39">
        <v>3452989</v>
      </c>
      <c r="I39">
        <v>3439554</v>
      </c>
      <c r="J39">
        <v>3498540</v>
      </c>
      <c r="K39">
        <v>3434600</v>
      </c>
      <c r="L39" s="2">
        <f>AVERAGE(B39:K39)</f>
        <v>3432368.5</v>
      </c>
    </row>
    <row r="40" spans="1:12" x14ac:dyDescent="0.3">
      <c r="A40" t="s">
        <v>0</v>
      </c>
      <c r="B40">
        <v>450820278</v>
      </c>
      <c r="C40">
        <v>450820278</v>
      </c>
      <c r="D40">
        <v>450820278</v>
      </c>
      <c r="E40">
        <v>450820278</v>
      </c>
      <c r="F40">
        <v>450820278</v>
      </c>
      <c r="G40">
        <v>450820278</v>
      </c>
      <c r="H40">
        <v>450820278</v>
      </c>
      <c r="I40">
        <v>450820278</v>
      </c>
      <c r="J40">
        <v>450820278</v>
      </c>
      <c r="K40">
        <v>450820278</v>
      </c>
      <c r="L40" s="2">
        <f t="shared" ref="L40" si="6">AVERAGE(B40:K40)</f>
        <v>450820278</v>
      </c>
    </row>
    <row r="41" spans="1:12" x14ac:dyDescent="0.3">
      <c r="A41" t="s">
        <v>25</v>
      </c>
      <c r="B41">
        <v>322480350</v>
      </c>
      <c r="C41">
        <v>322480350</v>
      </c>
      <c r="D41">
        <v>322480350</v>
      </c>
      <c r="E41">
        <v>322480350</v>
      </c>
      <c r="F41">
        <v>322480350</v>
      </c>
      <c r="G41">
        <v>322480350</v>
      </c>
      <c r="H41">
        <v>322480350</v>
      </c>
      <c r="I41">
        <v>322480350</v>
      </c>
      <c r="J41">
        <v>322480350</v>
      </c>
      <c r="K41">
        <v>322480350</v>
      </c>
      <c r="L41" s="2">
        <f>AVERAGE(B41:K41)</f>
        <v>322480350</v>
      </c>
    </row>
    <row r="43" spans="1:12" x14ac:dyDescent="0.3">
      <c r="A43">
        <v>100000000</v>
      </c>
      <c r="B43">
        <v>1</v>
      </c>
      <c r="C43">
        <v>2</v>
      </c>
      <c r="D43">
        <v>3</v>
      </c>
      <c r="E43">
        <v>4</v>
      </c>
      <c r="F43">
        <v>5</v>
      </c>
      <c r="G43">
        <v>6</v>
      </c>
      <c r="H43">
        <v>7</v>
      </c>
      <c r="I43">
        <v>8</v>
      </c>
      <c r="J43">
        <v>9</v>
      </c>
      <c r="K43">
        <v>10</v>
      </c>
    </row>
    <row r="44" spans="1:12" x14ac:dyDescent="0.3">
      <c r="A44" t="s">
        <v>27</v>
      </c>
      <c r="B44">
        <v>35510260</v>
      </c>
      <c r="C44">
        <v>38453565</v>
      </c>
      <c r="D44">
        <v>35946263</v>
      </c>
      <c r="E44">
        <v>35786803</v>
      </c>
      <c r="F44">
        <v>35594138</v>
      </c>
      <c r="G44">
        <v>36059027</v>
      </c>
      <c r="H44">
        <v>39335629</v>
      </c>
      <c r="I44">
        <v>36264218</v>
      </c>
      <c r="J44">
        <v>35002885</v>
      </c>
      <c r="K44">
        <v>35466173</v>
      </c>
      <c r="L44" s="2">
        <f>AVERAGE(B44:K44)</f>
        <v>36341896.100000001</v>
      </c>
    </row>
    <row r="45" spans="1:12" x14ac:dyDescent="0.3">
      <c r="A45" t="s">
        <v>0</v>
      </c>
      <c r="B45">
        <v>5119616562</v>
      </c>
      <c r="C45">
        <v>5119616562</v>
      </c>
      <c r="D45">
        <v>5119616562</v>
      </c>
      <c r="E45">
        <v>5119616562</v>
      </c>
      <c r="F45">
        <v>5119616562</v>
      </c>
      <c r="G45">
        <v>5119616562</v>
      </c>
      <c r="H45">
        <v>5119616562</v>
      </c>
      <c r="I45">
        <v>5119616562</v>
      </c>
      <c r="J45">
        <v>5119616562</v>
      </c>
      <c r="K45">
        <v>5119616562</v>
      </c>
      <c r="L45" s="2">
        <f t="shared" ref="L45" si="7">AVERAGE(B45:K45)</f>
        <v>5119616562</v>
      </c>
    </row>
    <row r="46" spans="1:12" x14ac:dyDescent="0.3">
      <c r="A46" t="s">
        <v>25</v>
      </c>
      <c r="B46">
        <v>3616596232</v>
      </c>
      <c r="C46">
        <v>3616596232</v>
      </c>
      <c r="D46">
        <v>3616596232</v>
      </c>
      <c r="E46">
        <v>3616596232</v>
      </c>
      <c r="F46">
        <v>3616596232</v>
      </c>
      <c r="G46">
        <v>3616596232</v>
      </c>
      <c r="H46">
        <v>3616596232</v>
      </c>
      <c r="I46">
        <v>3616596232</v>
      </c>
      <c r="J46">
        <v>3616596232</v>
      </c>
      <c r="K46">
        <v>3616596232</v>
      </c>
      <c r="L46" s="2">
        <f>AVERAGE(B46:K46)</f>
        <v>3616596232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E23A-01F0-4302-ADA1-2F6A036928C3}">
  <dimension ref="A1:AA53"/>
  <sheetViews>
    <sheetView tabSelected="1" topLeftCell="A10" zoomScale="70" zoomScaleNormal="70" zoomScalePageLayoutView="40" workbookViewId="0">
      <selection activeCell="D44" sqref="D44"/>
    </sheetView>
  </sheetViews>
  <sheetFormatPr defaultRowHeight="14.4" x14ac:dyDescent="0.3"/>
  <cols>
    <col min="1" max="1" width="14.21875" bestFit="1" customWidth="1"/>
    <col min="2" max="2" width="16.33203125" bestFit="1" customWidth="1"/>
    <col min="3" max="4" width="12.6640625" bestFit="1" customWidth="1"/>
    <col min="5" max="5" width="13.77734375" bestFit="1" customWidth="1"/>
    <col min="6" max="6" width="18.109375" bestFit="1" customWidth="1"/>
    <col min="7" max="7" width="12" bestFit="1" customWidth="1"/>
    <col min="8" max="8" width="11" bestFit="1" customWidth="1"/>
    <col min="9" max="9" width="12" bestFit="1" customWidth="1"/>
    <col min="11" max="12" width="8.88671875" style="1"/>
    <col min="14" max="14" width="31.33203125" bestFit="1" customWidth="1"/>
    <col min="20" max="20" width="9.44140625" bestFit="1" customWidth="1"/>
    <col min="21" max="22" width="10.44140625" bestFit="1" customWidth="1"/>
    <col min="23" max="24" width="11.44140625" bestFit="1" customWidth="1"/>
    <col min="25" max="27" width="12.44140625" bestFit="1" customWidth="1"/>
  </cols>
  <sheetData>
    <row r="1" spans="1:27" x14ac:dyDescent="0.3">
      <c r="A1" s="1" t="s">
        <v>24</v>
      </c>
      <c r="B1" s="1" t="s">
        <v>32</v>
      </c>
      <c r="C1" s="1"/>
      <c r="D1" s="1"/>
      <c r="E1" s="1"/>
      <c r="F1" s="1"/>
      <c r="G1" s="1"/>
      <c r="H1" s="1"/>
      <c r="I1" s="1"/>
      <c r="J1" s="1"/>
    </row>
    <row r="2" spans="1:27" x14ac:dyDescent="0.3">
      <c r="A2" t="s">
        <v>35</v>
      </c>
      <c r="B2" t="s">
        <v>4</v>
      </c>
      <c r="C2" t="s">
        <v>5</v>
      </c>
      <c r="D2" t="s">
        <v>15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N2" t="s">
        <v>42</v>
      </c>
    </row>
    <row r="3" spans="1:27" x14ac:dyDescent="0.3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O3">
        <v>2</v>
      </c>
      <c r="P3">
        <v>10</v>
      </c>
      <c r="Q3">
        <v>20</v>
      </c>
      <c r="R3">
        <v>100</v>
      </c>
      <c r="S3">
        <v>500</v>
      </c>
      <c r="T3">
        <v>10000</v>
      </c>
      <c r="U3">
        <v>50000</v>
      </c>
      <c r="V3">
        <v>100000</v>
      </c>
      <c r="W3">
        <v>500000</v>
      </c>
      <c r="X3">
        <v>1000000</v>
      </c>
      <c r="Y3">
        <v>5000000</v>
      </c>
      <c r="Z3">
        <v>10000000</v>
      </c>
      <c r="AA3">
        <v>100000000</v>
      </c>
    </row>
    <row r="4" spans="1:27" x14ac:dyDescent="0.3">
      <c r="A4" t="s">
        <v>0</v>
      </c>
      <c r="B4">
        <v>4</v>
      </c>
      <c r="C4">
        <v>17</v>
      </c>
      <c r="D4">
        <v>38</v>
      </c>
      <c r="E4">
        <v>63</v>
      </c>
      <c r="F4">
        <v>46</v>
      </c>
      <c r="G4">
        <v>50</v>
      </c>
      <c r="H4">
        <v>55</v>
      </c>
      <c r="I4">
        <v>46</v>
      </c>
      <c r="N4" s="5" t="s">
        <v>36</v>
      </c>
      <c r="O4">
        <v>0</v>
      </c>
      <c r="P4">
        <v>0</v>
      </c>
      <c r="Q4">
        <v>0</v>
      </c>
      <c r="R4">
        <v>0</v>
      </c>
      <c r="S4">
        <v>1061</v>
      </c>
      <c r="T4">
        <v>3325.5</v>
      </c>
      <c r="U4">
        <v>18269.5</v>
      </c>
      <c r="V4">
        <v>38558.699999999997</v>
      </c>
      <c r="W4">
        <v>231860.1</v>
      </c>
      <c r="X4">
        <v>516185.2</v>
      </c>
      <c r="Y4">
        <v>3340059.8</v>
      </c>
      <c r="Z4" s="2">
        <v>7531984</v>
      </c>
      <c r="AA4">
        <v>114025526.3</v>
      </c>
    </row>
    <row r="5" spans="1:27" x14ac:dyDescent="0.3">
      <c r="A5" t="s">
        <v>1</v>
      </c>
      <c r="B5">
        <v>0</v>
      </c>
      <c r="C5">
        <v>9</v>
      </c>
      <c r="D5">
        <v>15</v>
      </c>
      <c r="E5">
        <v>33</v>
      </c>
      <c r="F5">
        <v>21</v>
      </c>
      <c r="G5">
        <v>24</v>
      </c>
      <c r="H5">
        <v>27</v>
      </c>
      <c r="I5">
        <v>21</v>
      </c>
      <c r="N5" s="5" t="s">
        <v>37</v>
      </c>
      <c r="O5">
        <v>10</v>
      </c>
      <c r="P5">
        <v>136</v>
      </c>
      <c r="Q5">
        <v>370</v>
      </c>
      <c r="R5">
        <v>1473</v>
      </c>
      <c r="S5">
        <v>20278</v>
      </c>
      <c r="T5">
        <v>622879</v>
      </c>
      <c r="U5">
        <v>3697633.6</v>
      </c>
      <c r="V5">
        <v>7894417.2999999998</v>
      </c>
      <c r="W5">
        <v>45219114.799999997</v>
      </c>
      <c r="X5">
        <v>95437936.200000003</v>
      </c>
      <c r="Y5">
        <v>535563740.60000002</v>
      </c>
      <c r="Z5" s="2">
        <v>1121128777.9000001</v>
      </c>
      <c r="AA5">
        <v>12877371522.6</v>
      </c>
    </row>
    <row r="6" spans="1:27" x14ac:dyDescent="0.3">
      <c r="N6" s="5" t="s">
        <v>38</v>
      </c>
      <c r="O6">
        <v>6</v>
      </c>
      <c r="P6">
        <v>84</v>
      </c>
      <c r="Q6">
        <v>225</v>
      </c>
      <c r="R6">
        <v>882</v>
      </c>
      <c r="S6">
        <v>12099</v>
      </c>
      <c r="T6">
        <v>372543.3</v>
      </c>
      <c r="U6">
        <v>2212720.5</v>
      </c>
      <c r="V6">
        <v>4724820.9000000004</v>
      </c>
      <c r="W6">
        <v>27071988.899999999</v>
      </c>
      <c r="X6">
        <v>57144328.799999997</v>
      </c>
      <c r="Y6">
        <v>320744675.39999998</v>
      </c>
      <c r="Z6" s="2">
        <v>671490554.70000005</v>
      </c>
      <c r="AA6">
        <v>7714561644.3000002</v>
      </c>
    </row>
    <row r="7" spans="1:27" x14ac:dyDescent="0.3">
      <c r="A7" t="s">
        <v>11</v>
      </c>
      <c r="B7" t="s">
        <v>12</v>
      </c>
      <c r="C7" t="s">
        <v>6</v>
      </c>
      <c r="D7" t="s">
        <v>7</v>
      </c>
      <c r="E7" t="s">
        <v>14</v>
      </c>
      <c r="F7" t="s">
        <v>9</v>
      </c>
      <c r="G7" t="s">
        <v>10</v>
      </c>
      <c r="N7" s="6" t="s">
        <v>39</v>
      </c>
      <c r="O7">
        <v>0</v>
      </c>
      <c r="P7">
        <v>0</v>
      </c>
      <c r="Q7">
        <v>0</v>
      </c>
      <c r="R7">
        <v>0</v>
      </c>
      <c r="S7">
        <v>994</v>
      </c>
      <c r="T7">
        <v>2696.1</v>
      </c>
      <c r="U7">
        <v>14650.2</v>
      </c>
      <c r="V7">
        <v>31605.5</v>
      </c>
      <c r="W7">
        <v>196812.79999999999</v>
      </c>
      <c r="X7">
        <v>429462.1</v>
      </c>
      <c r="Y7">
        <v>3299513.8</v>
      </c>
      <c r="Z7">
        <v>7040680.9000000004</v>
      </c>
      <c r="AA7">
        <v>109078766.40000001</v>
      </c>
    </row>
    <row r="8" spans="1:27" x14ac:dyDescent="0.3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N8" s="6" t="s">
        <v>40</v>
      </c>
      <c r="O8">
        <v>17</v>
      </c>
      <c r="P8">
        <v>160</v>
      </c>
      <c r="Q8">
        <v>365</v>
      </c>
      <c r="R8">
        <v>2827</v>
      </c>
      <c r="S8">
        <v>19382</v>
      </c>
      <c r="T8">
        <v>573968.30000000005</v>
      </c>
      <c r="U8">
        <v>3396621.7</v>
      </c>
      <c r="V8">
        <v>7212624</v>
      </c>
      <c r="W8">
        <v>41305620.200000003</v>
      </c>
      <c r="X8">
        <v>86873845.5</v>
      </c>
      <c r="Y8">
        <v>486323267.60000002</v>
      </c>
      <c r="Z8">
        <v>1016110796.4</v>
      </c>
      <c r="AA8">
        <v>11633280832.700001</v>
      </c>
    </row>
    <row r="9" spans="1:27" x14ac:dyDescent="0.3">
      <c r="A9" t="s">
        <v>0</v>
      </c>
      <c r="B9">
        <v>1190</v>
      </c>
      <c r="C9">
        <v>1313</v>
      </c>
      <c r="D9">
        <v>1101</v>
      </c>
      <c r="E9">
        <v>458</v>
      </c>
      <c r="F9">
        <v>1198</v>
      </c>
      <c r="G9">
        <v>1183</v>
      </c>
      <c r="N9" s="6" t="s">
        <v>41</v>
      </c>
      <c r="O9">
        <v>9</v>
      </c>
      <c r="P9">
        <v>78</v>
      </c>
      <c r="Q9">
        <v>165</v>
      </c>
      <c r="R9">
        <v>1260</v>
      </c>
      <c r="S9">
        <v>8550</v>
      </c>
      <c r="T9">
        <v>250541.1</v>
      </c>
      <c r="U9">
        <v>1478409.9</v>
      </c>
      <c r="V9">
        <v>3136524</v>
      </c>
      <c r="W9">
        <v>17929671.899999999</v>
      </c>
      <c r="X9">
        <v>37685945.700000003</v>
      </c>
      <c r="Y9">
        <v>210695193</v>
      </c>
      <c r="Z9">
        <v>440019852</v>
      </c>
      <c r="AA9">
        <v>5031121073.1000004</v>
      </c>
    </row>
    <row r="10" spans="1:27" x14ac:dyDescent="0.3">
      <c r="A10" t="s">
        <v>1</v>
      </c>
      <c r="B10">
        <v>537</v>
      </c>
      <c r="C10">
        <v>597</v>
      </c>
      <c r="D10">
        <v>480</v>
      </c>
      <c r="E10">
        <v>150</v>
      </c>
      <c r="F10">
        <v>540</v>
      </c>
      <c r="G10">
        <v>531</v>
      </c>
    </row>
    <row r="13" spans="1:27" x14ac:dyDescent="0.3">
      <c r="A13" t="s">
        <v>13</v>
      </c>
      <c r="B13" t="s">
        <v>12</v>
      </c>
      <c r="C13" t="s">
        <v>6</v>
      </c>
      <c r="D13" t="s">
        <v>7</v>
      </c>
      <c r="E13" t="s">
        <v>14</v>
      </c>
      <c r="F13" t="s">
        <v>16</v>
      </c>
    </row>
    <row r="14" spans="1:27" x14ac:dyDescent="0.3">
      <c r="A14" t="s">
        <v>27</v>
      </c>
      <c r="B14">
        <v>0</v>
      </c>
      <c r="C14">
        <v>0</v>
      </c>
      <c r="D14">
        <v>996</v>
      </c>
      <c r="E14">
        <v>0</v>
      </c>
      <c r="F14">
        <v>0</v>
      </c>
    </row>
    <row r="15" spans="1:27" x14ac:dyDescent="0.3">
      <c r="A15" t="s">
        <v>0</v>
      </c>
      <c r="B15">
        <v>42909</v>
      </c>
      <c r="C15">
        <v>45766</v>
      </c>
      <c r="D15">
        <v>41285</v>
      </c>
      <c r="E15">
        <v>9326</v>
      </c>
      <c r="F15">
        <v>45762</v>
      </c>
    </row>
    <row r="16" spans="1:27" x14ac:dyDescent="0.3">
      <c r="A16" t="s">
        <v>1</v>
      </c>
      <c r="B16">
        <v>18858</v>
      </c>
      <c r="C16">
        <v>20313</v>
      </c>
      <c r="D16">
        <v>17871</v>
      </c>
      <c r="E16">
        <v>3000</v>
      </c>
      <c r="F16">
        <v>20310</v>
      </c>
    </row>
    <row r="18" spans="1:10" x14ac:dyDescent="0.3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</row>
    <row r="19" spans="1:10" x14ac:dyDescent="0.3">
      <c r="A19" t="s">
        <v>27</v>
      </c>
      <c r="B19">
        <v>0</v>
      </c>
      <c r="C19">
        <v>0</v>
      </c>
      <c r="D19">
        <v>0</v>
      </c>
      <c r="E19">
        <v>0</v>
      </c>
      <c r="F19">
        <v>994</v>
      </c>
    </row>
    <row r="20" spans="1:10" x14ac:dyDescent="0.3">
      <c r="A20" t="s">
        <v>0</v>
      </c>
      <c r="B20">
        <v>17</v>
      </c>
      <c r="C20">
        <v>160</v>
      </c>
      <c r="D20">
        <v>365</v>
      </c>
      <c r="E20">
        <v>2827</v>
      </c>
      <c r="F20">
        <v>19382</v>
      </c>
    </row>
    <row r="21" spans="1:10" x14ac:dyDescent="0.3">
      <c r="A21" t="s">
        <v>1</v>
      </c>
      <c r="B21">
        <v>9</v>
      </c>
      <c r="C21">
        <v>78</v>
      </c>
      <c r="D21">
        <v>165</v>
      </c>
      <c r="E21">
        <v>1260</v>
      </c>
      <c r="F21">
        <v>8550</v>
      </c>
    </row>
    <row r="23" spans="1:10" x14ac:dyDescent="0.3">
      <c r="A23" s="2" t="s">
        <v>28</v>
      </c>
      <c r="B23">
        <v>10000</v>
      </c>
      <c r="C23">
        <v>50000</v>
      </c>
      <c r="D23">
        <v>100000</v>
      </c>
      <c r="E23">
        <v>500000</v>
      </c>
      <c r="F23">
        <v>1000000</v>
      </c>
      <c r="G23">
        <v>5000000</v>
      </c>
      <c r="H23">
        <v>10000000</v>
      </c>
      <c r="I23">
        <v>100000000</v>
      </c>
    </row>
    <row r="24" spans="1:10" x14ac:dyDescent="0.3">
      <c r="A24" t="s">
        <v>27</v>
      </c>
      <c r="B24">
        <v>2696.1</v>
      </c>
      <c r="C24">
        <v>14650.2</v>
      </c>
      <c r="D24">
        <v>31605.5</v>
      </c>
      <c r="E24">
        <v>196812.79999999999</v>
      </c>
      <c r="F24">
        <v>429462.1</v>
      </c>
      <c r="G24">
        <v>3299513.8</v>
      </c>
      <c r="H24">
        <v>7040680.9000000004</v>
      </c>
      <c r="I24">
        <v>109078766.40000001</v>
      </c>
    </row>
    <row r="25" spans="1:10" x14ac:dyDescent="0.3">
      <c r="A25" t="s">
        <v>0</v>
      </c>
      <c r="B25">
        <v>573968.30000000005</v>
      </c>
      <c r="C25">
        <v>3396621.7</v>
      </c>
      <c r="D25">
        <v>7212624</v>
      </c>
      <c r="E25">
        <v>41305620.200000003</v>
      </c>
      <c r="F25">
        <v>86873845.5</v>
      </c>
      <c r="G25">
        <v>486323267.60000002</v>
      </c>
      <c r="H25">
        <v>1016110796.4</v>
      </c>
      <c r="I25">
        <v>11633280832.700001</v>
      </c>
    </row>
    <row r="26" spans="1:10" x14ac:dyDescent="0.3">
      <c r="A26" t="s">
        <v>1</v>
      </c>
      <c r="B26">
        <v>250541.1</v>
      </c>
      <c r="C26">
        <v>1478409.9</v>
      </c>
      <c r="D26">
        <v>3136524</v>
      </c>
      <c r="E26">
        <v>17929671.899999999</v>
      </c>
      <c r="F26">
        <v>37685945.700000003</v>
      </c>
      <c r="G26">
        <v>210695193</v>
      </c>
      <c r="H26">
        <v>440019852</v>
      </c>
      <c r="I26">
        <v>5031121073.1000004</v>
      </c>
    </row>
    <row r="28" spans="1:10" x14ac:dyDescent="0.3">
      <c r="A28" s="1" t="s">
        <v>24</v>
      </c>
      <c r="B28" s="1" t="s">
        <v>31</v>
      </c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t="s">
        <v>3</v>
      </c>
      <c r="B29" t="s">
        <v>4</v>
      </c>
      <c r="C29" t="s">
        <v>5</v>
      </c>
      <c r="D29" t="s">
        <v>15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10" x14ac:dyDescent="0.3">
      <c r="A30" t="s">
        <v>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10" x14ac:dyDescent="0.3">
      <c r="A31" t="s">
        <v>0</v>
      </c>
      <c r="B31">
        <v>0</v>
      </c>
      <c r="C31">
        <v>10</v>
      </c>
      <c r="D31">
        <v>27</v>
      </c>
      <c r="E31">
        <v>51</v>
      </c>
      <c r="F31">
        <v>40</v>
      </c>
      <c r="G31">
        <v>43</v>
      </c>
      <c r="H31">
        <v>44</v>
      </c>
      <c r="I31">
        <v>51</v>
      </c>
    </row>
    <row r="32" spans="1:10" x14ac:dyDescent="0.3">
      <c r="A32" t="s">
        <v>1</v>
      </c>
      <c r="B32">
        <v>0</v>
      </c>
      <c r="C32">
        <v>6</v>
      </c>
      <c r="D32">
        <v>12</v>
      </c>
      <c r="E32">
        <v>33</v>
      </c>
      <c r="F32">
        <v>24</v>
      </c>
      <c r="G32">
        <v>27</v>
      </c>
      <c r="H32">
        <v>27</v>
      </c>
      <c r="I32">
        <v>33</v>
      </c>
    </row>
    <row r="34" spans="1:7" x14ac:dyDescent="0.3">
      <c r="A34" t="s">
        <v>11</v>
      </c>
      <c r="B34" t="s">
        <v>12</v>
      </c>
      <c r="C34" t="s">
        <v>6</v>
      </c>
      <c r="D34" t="s">
        <v>7</v>
      </c>
      <c r="E34" t="s">
        <v>14</v>
      </c>
      <c r="F34" t="s">
        <v>9</v>
      </c>
      <c r="G34" t="s">
        <v>10</v>
      </c>
    </row>
    <row r="35" spans="1:7" x14ac:dyDescent="0.3">
      <c r="A35" t="s">
        <v>27</v>
      </c>
      <c r="B35">
        <v>774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">
      <c r="A36" t="s">
        <v>0</v>
      </c>
      <c r="B36">
        <v>1209</v>
      </c>
      <c r="C36">
        <v>1268</v>
      </c>
      <c r="D36">
        <v>1073</v>
      </c>
      <c r="E36">
        <v>366</v>
      </c>
      <c r="F36">
        <v>1243</v>
      </c>
      <c r="G36">
        <v>1229</v>
      </c>
    </row>
    <row r="37" spans="1:7" x14ac:dyDescent="0.3">
      <c r="A37" t="s">
        <v>1</v>
      </c>
      <c r="B37">
        <v>726</v>
      </c>
      <c r="C37">
        <v>777</v>
      </c>
      <c r="D37">
        <v>627</v>
      </c>
      <c r="E37">
        <v>147</v>
      </c>
      <c r="F37">
        <v>747</v>
      </c>
      <c r="G37">
        <v>738</v>
      </c>
    </row>
    <row r="40" spans="1:7" x14ac:dyDescent="0.3">
      <c r="A40" t="s">
        <v>13</v>
      </c>
      <c r="B40" t="s">
        <v>12</v>
      </c>
      <c r="C40" t="s">
        <v>6</v>
      </c>
      <c r="D40" t="s">
        <v>7</v>
      </c>
      <c r="E40" t="s">
        <v>14</v>
      </c>
      <c r="F40" t="s">
        <v>16</v>
      </c>
    </row>
    <row r="41" spans="1:7" x14ac:dyDescent="0.3">
      <c r="A41" t="s">
        <v>27</v>
      </c>
      <c r="B41">
        <v>1015</v>
      </c>
      <c r="C41">
        <v>0</v>
      </c>
      <c r="D41">
        <v>0</v>
      </c>
      <c r="E41">
        <v>0</v>
      </c>
      <c r="F41">
        <v>0</v>
      </c>
    </row>
    <row r="42" spans="1:7" x14ac:dyDescent="0.3">
      <c r="A42" t="s">
        <v>0</v>
      </c>
      <c r="B42">
        <v>45786</v>
      </c>
      <c r="C42">
        <v>45983</v>
      </c>
      <c r="D42">
        <v>42325</v>
      </c>
      <c r="E42">
        <v>7491</v>
      </c>
      <c r="F42">
        <v>45983</v>
      </c>
    </row>
    <row r="43" spans="1:7" x14ac:dyDescent="0.3">
      <c r="A43" t="s">
        <v>1</v>
      </c>
      <c r="B43">
        <v>27384</v>
      </c>
      <c r="C43">
        <v>27771</v>
      </c>
      <c r="D43">
        <v>24900</v>
      </c>
      <c r="E43">
        <v>2997</v>
      </c>
      <c r="F43">
        <v>27771</v>
      </c>
    </row>
    <row r="45" spans="1:7" x14ac:dyDescent="0.3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</row>
    <row r="46" spans="1:7" x14ac:dyDescent="0.3">
      <c r="A46" t="s">
        <v>27</v>
      </c>
      <c r="B46">
        <v>0</v>
      </c>
      <c r="C46">
        <v>0</v>
      </c>
      <c r="D46">
        <v>0</v>
      </c>
      <c r="E46">
        <v>0</v>
      </c>
      <c r="F46">
        <v>1061</v>
      </c>
    </row>
    <row r="47" spans="1:7" x14ac:dyDescent="0.3">
      <c r="A47" t="s">
        <v>0</v>
      </c>
      <c r="B47">
        <v>10</v>
      </c>
      <c r="C47">
        <v>136</v>
      </c>
      <c r="D47">
        <v>370</v>
      </c>
      <c r="E47">
        <v>1473</v>
      </c>
      <c r="F47">
        <v>20278</v>
      </c>
    </row>
    <row r="48" spans="1:7" x14ac:dyDescent="0.3">
      <c r="A48" t="s">
        <v>1</v>
      </c>
      <c r="B48">
        <v>6</v>
      </c>
      <c r="C48">
        <v>84</v>
      </c>
      <c r="D48">
        <v>225</v>
      </c>
      <c r="E48">
        <v>882</v>
      </c>
      <c r="F48">
        <v>12099</v>
      </c>
    </row>
    <row r="50" spans="1:9" x14ac:dyDescent="0.3">
      <c r="A50" s="2" t="s">
        <v>28</v>
      </c>
      <c r="B50">
        <v>10000</v>
      </c>
      <c r="C50">
        <v>50000</v>
      </c>
      <c r="D50">
        <v>100000</v>
      </c>
      <c r="E50">
        <v>500000</v>
      </c>
      <c r="F50">
        <v>1000000</v>
      </c>
      <c r="G50">
        <v>5000000</v>
      </c>
      <c r="H50">
        <v>10000000</v>
      </c>
      <c r="I50">
        <v>100000000</v>
      </c>
    </row>
    <row r="51" spans="1:9" x14ac:dyDescent="0.3">
      <c r="A51" t="s">
        <v>27</v>
      </c>
      <c r="B51">
        <v>3325.5</v>
      </c>
      <c r="C51">
        <v>18269.5</v>
      </c>
      <c r="D51">
        <v>38558.699999999997</v>
      </c>
      <c r="E51">
        <v>231860.1</v>
      </c>
      <c r="F51">
        <v>516185.2</v>
      </c>
      <c r="G51">
        <v>3340059.8</v>
      </c>
      <c r="H51" s="2">
        <v>7531984</v>
      </c>
      <c r="I51">
        <v>114025526.3</v>
      </c>
    </row>
    <row r="52" spans="1:9" x14ac:dyDescent="0.3">
      <c r="A52" t="s">
        <v>0</v>
      </c>
      <c r="B52">
        <v>622879</v>
      </c>
      <c r="C52">
        <v>3697633.6</v>
      </c>
      <c r="D52">
        <v>7894417.2999999998</v>
      </c>
      <c r="E52">
        <v>45219114.799999997</v>
      </c>
      <c r="F52">
        <v>95437936.200000003</v>
      </c>
      <c r="G52">
        <v>535563740.60000002</v>
      </c>
      <c r="H52" s="2">
        <v>1121128777.9000001</v>
      </c>
      <c r="I52">
        <v>12877371522.6</v>
      </c>
    </row>
    <row r="53" spans="1:9" x14ac:dyDescent="0.3">
      <c r="A53" t="s">
        <v>1</v>
      </c>
      <c r="B53">
        <v>372543.3</v>
      </c>
      <c r="C53">
        <v>2212720.5</v>
      </c>
      <c r="D53">
        <v>4724820.9000000004</v>
      </c>
      <c r="E53">
        <v>27071988.899999999</v>
      </c>
      <c r="F53">
        <v>57144328.799999997</v>
      </c>
      <c r="G53">
        <v>320744675.39999998</v>
      </c>
      <c r="H53" s="2">
        <v>671490554.70000005</v>
      </c>
      <c r="I53">
        <v>7714561644.3000002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79E2-8B11-47AC-A2FD-A9EFC35E02EE}">
  <dimension ref="A1:L46"/>
  <sheetViews>
    <sheetView zoomScale="70" zoomScaleNormal="70" workbookViewId="0">
      <selection activeCell="R38" sqref="R38"/>
    </sheetView>
  </sheetViews>
  <sheetFormatPr defaultRowHeight="14.4" x14ac:dyDescent="0.3"/>
  <cols>
    <col min="1" max="1" width="14.88671875" bestFit="1" customWidth="1"/>
    <col min="2" max="2" width="11.5546875" customWidth="1"/>
    <col min="3" max="6" width="12" bestFit="1" customWidth="1"/>
    <col min="7" max="7" width="12.21875" bestFit="1" customWidth="1"/>
    <col min="8" max="8" width="12.6640625" customWidth="1"/>
    <col min="9" max="9" width="12.21875" bestFit="1" customWidth="1"/>
    <col min="10" max="10" width="13.33203125" bestFit="1" customWidth="1"/>
    <col min="11" max="11" width="11" bestFit="1" customWidth="1"/>
    <col min="12" max="12" width="27" customWidth="1"/>
  </cols>
  <sheetData>
    <row r="1" spans="1:12" x14ac:dyDescent="0.3">
      <c r="A1" s="2" t="s">
        <v>28</v>
      </c>
      <c r="B1">
        <v>10000</v>
      </c>
      <c r="C1">
        <v>50000</v>
      </c>
      <c r="D1">
        <v>100000</v>
      </c>
      <c r="E1">
        <v>500000</v>
      </c>
      <c r="F1">
        <v>1000000</v>
      </c>
      <c r="G1">
        <v>5000000</v>
      </c>
      <c r="H1">
        <v>10000000</v>
      </c>
      <c r="I1">
        <v>100000000</v>
      </c>
    </row>
    <row r="2" spans="1:12" x14ac:dyDescent="0.3">
      <c r="A2" t="s">
        <v>27</v>
      </c>
      <c r="B2">
        <v>3325.5</v>
      </c>
      <c r="C2">
        <v>18269.5</v>
      </c>
      <c r="D2">
        <v>38558.699999999997</v>
      </c>
      <c r="E2">
        <v>231860.1</v>
      </c>
      <c r="F2">
        <v>516185.2</v>
      </c>
      <c r="G2">
        <v>3340059.8</v>
      </c>
      <c r="H2" s="2">
        <v>7531984</v>
      </c>
      <c r="I2">
        <v>114025526.3</v>
      </c>
      <c r="L2" s="2"/>
    </row>
    <row r="3" spans="1:12" x14ac:dyDescent="0.3">
      <c r="A3" t="s">
        <v>0</v>
      </c>
      <c r="B3">
        <v>622879</v>
      </c>
      <c r="C3">
        <v>3697633.6</v>
      </c>
      <c r="D3">
        <v>7894417.2999999998</v>
      </c>
      <c r="E3">
        <v>45219114.799999997</v>
      </c>
      <c r="F3">
        <v>95437936.200000003</v>
      </c>
      <c r="G3">
        <v>535563740.60000002</v>
      </c>
      <c r="H3" s="2">
        <v>1121128777.9000001</v>
      </c>
      <c r="I3">
        <v>12877371522.6</v>
      </c>
      <c r="L3" s="2"/>
    </row>
    <row r="4" spans="1:12" x14ac:dyDescent="0.3">
      <c r="A4" t="s">
        <v>1</v>
      </c>
      <c r="B4">
        <v>372543.3</v>
      </c>
      <c r="C4">
        <v>2212720.5</v>
      </c>
      <c r="D4">
        <v>4724820.9000000004</v>
      </c>
      <c r="E4">
        <v>27071988.899999999</v>
      </c>
      <c r="F4">
        <v>57144328.799999997</v>
      </c>
      <c r="G4">
        <v>320744675.39999998</v>
      </c>
      <c r="H4" s="2">
        <v>671490554.70000005</v>
      </c>
      <c r="I4">
        <v>7714561644.3000002</v>
      </c>
      <c r="L4" s="2"/>
    </row>
    <row r="5" spans="1:12" x14ac:dyDescent="0.3">
      <c r="L5" s="2"/>
    </row>
    <row r="6" spans="1:12" x14ac:dyDescent="0.3">
      <c r="A6">
        <v>10000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 s="2" t="s">
        <v>26</v>
      </c>
    </row>
    <row r="7" spans="1:12" x14ac:dyDescent="0.3">
      <c r="A7" t="s">
        <v>27</v>
      </c>
      <c r="B7">
        <v>2991</v>
      </c>
      <c r="C7">
        <v>2995</v>
      </c>
      <c r="D7">
        <v>4018</v>
      </c>
      <c r="E7">
        <v>3113</v>
      </c>
      <c r="F7">
        <v>4035</v>
      </c>
      <c r="G7">
        <v>3996</v>
      </c>
      <c r="H7">
        <v>2999</v>
      </c>
      <c r="I7">
        <v>2997</v>
      </c>
      <c r="J7">
        <v>3012</v>
      </c>
      <c r="K7">
        <v>3099</v>
      </c>
      <c r="L7" s="2">
        <f>AVERAGE(B7:K7)</f>
        <v>3325.5</v>
      </c>
    </row>
    <row r="8" spans="1:12" x14ac:dyDescent="0.3">
      <c r="A8" t="s">
        <v>0</v>
      </c>
      <c r="B8">
        <v>623003</v>
      </c>
      <c r="C8">
        <v>622732</v>
      </c>
      <c r="D8">
        <v>623299</v>
      </c>
      <c r="E8">
        <v>622798</v>
      </c>
      <c r="F8">
        <v>622372</v>
      </c>
      <c r="G8">
        <v>623049</v>
      </c>
      <c r="H8">
        <v>623079</v>
      </c>
      <c r="I8">
        <v>623192</v>
      </c>
      <c r="J8">
        <v>622831</v>
      </c>
      <c r="K8">
        <v>622435</v>
      </c>
      <c r="L8" s="2">
        <f t="shared" ref="L8:L9" si="0">AVERAGE(B8:K8)</f>
        <v>622879</v>
      </c>
    </row>
    <row r="9" spans="1:12" x14ac:dyDescent="0.3">
      <c r="A9" t="s">
        <v>25</v>
      </c>
      <c r="B9">
        <v>372639</v>
      </c>
      <c r="C9">
        <v>372408</v>
      </c>
      <c r="D9">
        <v>372903</v>
      </c>
      <c r="E9">
        <v>372483</v>
      </c>
      <c r="F9">
        <v>372183</v>
      </c>
      <c r="G9">
        <v>372738</v>
      </c>
      <c r="H9">
        <v>372633</v>
      </c>
      <c r="I9">
        <v>372804</v>
      </c>
      <c r="J9">
        <v>372465</v>
      </c>
      <c r="K9">
        <v>372177</v>
      </c>
      <c r="L9" s="2">
        <f t="shared" si="0"/>
        <v>372543.3</v>
      </c>
    </row>
    <row r="10" spans="1:12" x14ac:dyDescent="0.3">
      <c r="L10" s="2"/>
    </row>
    <row r="11" spans="1:12" x14ac:dyDescent="0.3">
      <c r="A11">
        <v>50000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 s="2" t="s">
        <v>26</v>
      </c>
    </row>
    <row r="12" spans="1:12" x14ac:dyDescent="0.3">
      <c r="A12" t="s">
        <v>27</v>
      </c>
      <c r="B12">
        <v>17208</v>
      </c>
      <c r="C12">
        <v>17069</v>
      </c>
      <c r="D12">
        <v>17120</v>
      </c>
      <c r="E12">
        <v>18237</v>
      </c>
      <c r="F12">
        <v>20264</v>
      </c>
      <c r="G12">
        <v>20129</v>
      </c>
      <c r="H12">
        <v>19065</v>
      </c>
      <c r="I12">
        <v>18153</v>
      </c>
      <c r="J12">
        <v>17284</v>
      </c>
      <c r="K12">
        <v>18166</v>
      </c>
      <c r="L12" s="2">
        <f>AVERAGE(B12:K12)</f>
        <v>18269.5</v>
      </c>
    </row>
    <row r="13" spans="1:12" x14ac:dyDescent="0.3">
      <c r="A13" t="s">
        <v>0</v>
      </c>
      <c r="B13">
        <v>3697930</v>
      </c>
      <c r="C13">
        <v>3697323</v>
      </c>
      <c r="D13">
        <v>3698098</v>
      </c>
      <c r="E13">
        <v>3697498</v>
      </c>
      <c r="F13">
        <v>3696860</v>
      </c>
      <c r="G13">
        <v>3698112</v>
      </c>
      <c r="H13">
        <v>3697971</v>
      </c>
      <c r="I13">
        <v>3697492</v>
      </c>
      <c r="J13">
        <v>3696638</v>
      </c>
      <c r="K13">
        <v>3698414</v>
      </c>
      <c r="L13" s="2">
        <f t="shared" ref="L13" si="1">AVERAGE(B13:K13)</f>
        <v>3697633.6</v>
      </c>
    </row>
    <row r="14" spans="1:12" x14ac:dyDescent="0.3">
      <c r="A14" t="s">
        <v>25</v>
      </c>
      <c r="B14">
        <v>2212887</v>
      </c>
      <c r="C14">
        <v>2212452</v>
      </c>
      <c r="D14">
        <v>2213055</v>
      </c>
      <c r="E14">
        <v>2212746</v>
      </c>
      <c r="F14">
        <v>2211966</v>
      </c>
      <c r="G14">
        <v>2213094</v>
      </c>
      <c r="H14">
        <v>2213052</v>
      </c>
      <c r="I14">
        <v>2212572</v>
      </c>
      <c r="J14">
        <v>2212074</v>
      </c>
      <c r="K14">
        <v>2213307</v>
      </c>
      <c r="L14" s="2">
        <f>AVERAGE(B14:K14)</f>
        <v>2212720.5</v>
      </c>
    </row>
    <row r="15" spans="1:12" x14ac:dyDescent="0.3">
      <c r="L15" s="2"/>
    </row>
    <row r="16" spans="1:12" x14ac:dyDescent="0.3">
      <c r="A16">
        <v>100000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 s="2" t="s">
        <v>26</v>
      </c>
    </row>
    <row r="17" spans="1:12" x14ac:dyDescent="0.3">
      <c r="A17" t="s">
        <v>27</v>
      </c>
      <c r="B17">
        <v>36677</v>
      </c>
      <c r="C17">
        <v>37349</v>
      </c>
      <c r="D17">
        <v>40353</v>
      </c>
      <c r="E17">
        <v>37527</v>
      </c>
      <c r="F17">
        <v>43943</v>
      </c>
      <c r="G17">
        <v>36915</v>
      </c>
      <c r="H17">
        <v>36740</v>
      </c>
      <c r="I17">
        <v>36406</v>
      </c>
      <c r="J17">
        <v>42513</v>
      </c>
      <c r="K17">
        <v>37164</v>
      </c>
      <c r="L17" s="2">
        <f>AVERAGE(B17:K17)</f>
        <v>38558.699999999997</v>
      </c>
    </row>
    <row r="18" spans="1:12" x14ac:dyDescent="0.3">
      <c r="A18" t="s">
        <v>0</v>
      </c>
      <c r="B18">
        <v>7894408</v>
      </c>
      <c r="C18">
        <v>7894864</v>
      </c>
      <c r="D18">
        <v>7893418</v>
      </c>
      <c r="E18">
        <v>7894262</v>
      </c>
      <c r="F18">
        <v>7894038</v>
      </c>
      <c r="G18">
        <v>7894849</v>
      </c>
      <c r="H18">
        <v>7893157</v>
      </c>
      <c r="I18">
        <v>7894665</v>
      </c>
      <c r="J18">
        <v>7895218</v>
      </c>
      <c r="K18">
        <v>7895294</v>
      </c>
      <c r="L18" s="2">
        <f t="shared" ref="L18:L19" si="2">AVERAGE(B18:K18)</f>
        <v>7894417.2999999998</v>
      </c>
    </row>
    <row r="19" spans="1:12" x14ac:dyDescent="0.3">
      <c r="A19" t="s">
        <v>25</v>
      </c>
      <c r="B19">
        <v>4724862</v>
      </c>
      <c r="C19">
        <v>4725033</v>
      </c>
      <c r="D19">
        <v>4724244</v>
      </c>
      <c r="E19">
        <v>4724577</v>
      </c>
      <c r="F19">
        <v>4724547</v>
      </c>
      <c r="G19">
        <v>4725150</v>
      </c>
      <c r="H19">
        <v>4723887</v>
      </c>
      <c r="I19">
        <v>4724841</v>
      </c>
      <c r="J19">
        <v>4725531</v>
      </c>
      <c r="K19">
        <v>4725537</v>
      </c>
      <c r="L19" s="2">
        <f t="shared" si="2"/>
        <v>4724820.9000000004</v>
      </c>
    </row>
    <row r="20" spans="1:12" x14ac:dyDescent="0.3">
      <c r="L20" s="2"/>
    </row>
    <row r="21" spans="1:12" x14ac:dyDescent="0.3">
      <c r="A21">
        <v>500000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  <c r="L21" s="2" t="s">
        <v>26</v>
      </c>
    </row>
    <row r="22" spans="1:12" x14ac:dyDescent="0.3">
      <c r="A22" t="s">
        <v>27</v>
      </c>
      <c r="B22">
        <v>227786</v>
      </c>
      <c r="C22">
        <v>225581</v>
      </c>
      <c r="D22">
        <v>231071</v>
      </c>
      <c r="E22">
        <v>232330</v>
      </c>
      <c r="F22">
        <v>224804</v>
      </c>
      <c r="G22">
        <v>236037</v>
      </c>
      <c r="H22">
        <v>234454</v>
      </c>
      <c r="I22">
        <v>223942</v>
      </c>
      <c r="J22">
        <v>243690</v>
      </c>
      <c r="K22">
        <v>238906</v>
      </c>
      <c r="L22" s="2">
        <f>AVERAGE(B22:K22)</f>
        <v>231860.1</v>
      </c>
    </row>
    <row r="23" spans="1:12" x14ac:dyDescent="0.3">
      <c r="A23" t="s">
        <v>0</v>
      </c>
      <c r="B23">
        <v>45219137</v>
      </c>
      <c r="C23">
        <v>45218430</v>
      </c>
      <c r="D23">
        <v>45220214</v>
      </c>
      <c r="E23">
        <v>45217542</v>
      </c>
      <c r="F23">
        <v>45217393</v>
      </c>
      <c r="G23">
        <v>45219772</v>
      </c>
      <c r="H23">
        <v>45218386</v>
      </c>
      <c r="I23">
        <v>45222184</v>
      </c>
      <c r="J23">
        <v>45218717</v>
      </c>
      <c r="K23">
        <v>45219373</v>
      </c>
      <c r="L23" s="2">
        <f t="shared" ref="L23:L24" si="3">AVERAGE(B23:K23)</f>
        <v>45219114.799999997</v>
      </c>
    </row>
    <row r="24" spans="1:12" x14ac:dyDescent="0.3">
      <c r="A24" t="s">
        <v>25</v>
      </c>
      <c r="B24">
        <v>27071691</v>
      </c>
      <c r="C24">
        <v>27071088</v>
      </c>
      <c r="D24">
        <v>27072711</v>
      </c>
      <c r="E24">
        <v>27070875</v>
      </c>
      <c r="F24">
        <v>27070893</v>
      </c>
      <c r="G24">
        <v>27072975</v>
      </c>
      <c r="H24">
        <v>27071559</v>
      </c>
      <c r="I24">
        <v>27073971</v>
      </c>
      <c r="J24">
        <v>27071682</v>
      </c>
      <c r="K24">
        <v>27072444</v>
      </c>
      <c r="L24" s="2">
        <f t="shared" si="3"/>
        <v>27071988.899999999</v>
      </c>
    </row>
    <row r="25" spans="1:12" x14ac:dyDescent="0.3">
      <c r="L25" s="2"/>
    </row>
    <row r="26" spans="1:12" x14ac:dyDescent="0.3">
      <c r="L26" s="2"/>
    </row>
    <row r="27" spans="1:12" x14ac:dyDescent="0.3">
      <c r="A27">
        <v>1000000</v>
      </c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  <c r="K27">
        <v>10</v>
      </c>
      <c r="L27" s="2" t="s">
        <v>26</v>
      </c>
    </row>
    <row r="28" spans="1:12" x14ac:dyDescent="0.3">
      <c r="A28" t="s">
        <v>27</v>
      </c>
      <c r="B28">
        <v>545003</v>
      </c>
      <c r="C28">
        <v>497135</v>
      </c>
      <c r="D28">
        <v>507123</v>
      </c>
      <c r="E28">
        <v>598358</v>
      </c>
      <c r="F28">
        <v>497971</v>
      </c>
      <c r="G28">
        <v>501589</v>
      </c>
      <c r="H28">
        <v>503953</v>
      </c>
      <c r="I28">
        <v>502306</v>
      </c>
      <c r="J28">
        <v>513381</v>
      </c>
      <c r="K28">
        <v>495033</v>
      </c>
      <c r="L28" s="2">
        <f>AVERAGE(B28:K28)</f>
        <v>516185.2</v>
      </c>
    </row>
    <row r="29" spans="1:12" x14ac:dyDescent="0.3">
      <c r="A29" t="s">
        <v>0</v>
      </c>
      <c r="B29">
        <v>95437466</v>
      </c>
      <c r="C29">
        <v>95432735</v>
      </c>
      <c r="D29">
        <v>95438544</v>
      </c>
      <c r="E29">
        <v>95433794</v>
      </c>
      <c r="F29">
        <v>95443857</v>
      </c>
      <c r="G29">
        <v>95435409</v>
      </c>
      <c r="H29">
        <v>95437743</v>
      </c>
      <c r="I29">
        <v>95439181</v>
      </c>
      <c r="J29">
        <v>95440279</v>
      </c>
      <c r="K29">
        <v>95440354</v>
      </c>
      <c r="L29" s="2">
        <f t="shared" ref="L29:L30" si="4">AVERAGE(B29:K29)</f>
        <v>95437936.200000003</v>
      </c>
    </row>
    <row r="30" spans="1:12" x14ac:dyDescent="0.3">
      <c r="A30" t="s">
        <v>25</v>
      </c>
      <c r="B30">
        <v>57143889</v>
      </c>
      <c r="C30">
        <v>57140235</v>
      </c>
      <c r="D30">
        <v>57144291</v>
      </c>
      <c r="E30">
        <v>57141465</v>
      </c>
      <c r="F30">
        <v>57149382</v>
      </c>
      <c r="G30">
        <v>57142773</v>
      </c>
      <c r="H30">
        <v>57143613</v>
      </c>
      <c r="I30">
        <v>57145071</v>
      </c>
      <c r="J30">
        <v>57145533</v>
      </c>
      <c r="K30">
        <v>57147036</v>
      </c>
      <c r="L30" s="2">
        <f t="shared" si="4"/>
        <v>57144328.799999997</v>
      </c>
    </row>
    <row r="31" spans="1:12" x14ac:dyDescent="0.3">
      <c r="L31" s="2"/>
    </row>
    <row r="32" spans="1:12" x14ac:dyDescent="0.3">
      <c r="L32" s="2"/>
    </row>
    <row r="33" spans="1:12" x14ac:dyDescent="0.3">
      <c r="A33">
        <v>5000000</v>
      </c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 s="2"/>
    </row>
    <row r="34" spans="1:12" x14ac:dyDescent="0.3">
      <c r="A34" t="s">
        <v>27</v>
      </c>
      <c r="B34">
        <v>3317027</v>
      </c>
      <c r="C34">
        <v>3333188</v>
      </c>
      <c r="D34">
        <v>3384415</v>
      </c>
      <c r="E34">
        <v>3306335</v>
      </c>
      <c r="F34">
        <v>3355231</v>
      </c>
      <c r="G34">
        <v>3400471</v>
      </c>
      <c r="H34">
        <v>3309751</v>
      </c>
      <c r="I34">
        <v>3369033</v>
      </c>
      <c r="J34">
        <v>3294562</v>
      </c>
      <c r="K34">
        <v>3330585</v>
      </c>
      <c r="L34" s="2">
        <f>AVERAGE(B34:K34)</f>
        <v>3340059.8</v>
      </c>
    </row>
    <row r="35" spans="1:12" x14ac:dyDescent="0.3">
      <c r="A35" t="s">
        <v>0</v>
      </c>
      <c r="B35">
        <v>535563360</v>
      </c>
      <c r="C35">
        <v>535568281</v>
      </c>
      <c r="D35">
        <v>535580773</v>
      </c>
      <c r="E35">
        <v>535560557</v>
      </c>
      <c r="F35">
        <v>535561295</v>
      </c>
      <c r="G35">
        <v>535553393</v>
      </c>
      <c r="H35">
        <v>535561354</v>
      </c>
      <c r="I35">
        <v>535558805</v>
      </c>
      <c r="J35">
        <v>535568509</v>
      </c>
      <c r="K35">
        <v>535561079</v>
      </c>
      <c r="L35" s="2">
        <f t="shared" ref="L35" si="5">AVERAGE(B35:K35)</f>
        <v>535563740.60000002</v>
      </c>
    </row>
    <row r="36" spans="1:12" x14ac:dyDescent="0.3">
      <c r="A36" t="s">
        <v>25</v>
      </c>
      <c r="B36">
        <v>320744382</v>
      </c>
      <c r="C36">
        <v>320747010</v>
      </c>
      <c r="D36">
        <v>320757756</v>
      </c>
      <c r="E36">
        <v>320743947</v>
      </c>
      <c r="F36">
        <v>320742771</v>
      </c>
      <c r="G36">
        <v>320737425</v>
      </c>
      <c r="H36">
        <v>320742663</v>
      </c>
      <c r="I36">
        <v>320741262</v>
      </c>
      <c r="J36">
        <v>320747877</v>
      </c>
      <c r="K36">
        <v>320741661</v>
      </c>
      <c r="L36" s="2">
        <f>AVERAGE(B36:K36)</f>
        <v>320744675.39999998</v>
      </c>
    </row>
    <row r="37" spans="1:12" x14ac:dyDescent="0.3">
      <c r="L37" s="2"/>
    </row>
    <row r="38" spans="1:12" x14ac:dyDescent="0.3">
      <c r="A38">
        <v>10000000</v>
      </c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 s="2"/>
    </row>
    <row r="39" spans="1:12" x14ac:dyDescent="0.3">
      <c r="A39" t="s">
        <v>27</v>
      </c>
      <c r="B39">
        <v>7636475</v>
      </c>
      <c r="C39">
        <v>7474107</v>
      </c>
      <c r="D39">
        <v>7562179</v>
      </c>
      <c r="E39">
        <v>7524231</v>
      </c>
      <c r="F39">
        <v>7503635</v>
      </c>
      <c r="G39">
        <v>7522482</v>
      </c>
      <c r="H39">
        <v>7518478</v>
      </c>
      <c r="I39">
        <v>7536956</v>
      </c>
      <c r="J39">
        <v>7518785</v>
      </c>
      <c r="K39">
        <v>7522512</v>
      </c>
      <c r="L39" s="2">
        <f>AVERAGE(B39:K39)</f>
        <v>7531984</v>
      </c>
    </row>
    <row r="40" spans="1:12" x14ac:dyDescent="0.3">
      <c r="A40" t="s">
        <v>0</v>
      </c>
      <c r="B40">
        <v>1121114930</v>
      </c>
      <c r="C40">
        <v>1121115813</v>
      </c>
      <c r="D40">
        <v>1121127266</v>
      </c>
      <c r="E40">
        <v>1121137188</v>
      </c>
      <c r="F40">
        <v>1121120932</v>
      </c>
      <c r="G40">
        <v>1121135547</v>
      </c>
      <c r="H40">
        <v>1121136867</v>
      </c>
      <c r="I40">
        <v>1121132326</v>
      </c>
      <c r="J40">
        <v>1121124306</v>
      </c>
      <c r="K40">
        <v>1121142604</v>
      </c>
      <c r="L40" s="2">
        <f t="shared" ref="L40" si="6">AVERAGE(B40:K40)</f>
        <v>1121128777.9000001</v>
      </c>
    </row>
    <row r="41" spans="1:12" x14ac:dyDescent="0.3">
      <c r="A41" t="s">
        <v>25</v>
      </c>
      <c r="B41">
        <v>671483097</v>
      </c>
      <c r="C41">
        <v>671480532</v>
      </c>
      <c r="D41">
        <v>671488650</v>
      </c>
      <c r="E41">
        <v>671494632</v>
      </c>
      <c r="F41">
        <v>671484945</v>
      </c>
      <c r="G41">
        <v>671495238</v>
      </c>
      <c r="H41">
        <v>671496801</v>
      </c>
      <c r="I41">
        <v>671493774</v>
      </c>
      <c r="J41">
        <v>671485995</v>
      </c>
      <c r="K41">
        <v>671501883</v>
      </c>
      <c r="L41" s="2">
        <f>AVERAGE(B41:K41)</f>
        <v>671490554.70000005</v>
      </c>
    </row>
    <row r="42" spans="1:12" x14ac:dyDescent="0.3">
      <c r="L42" s="2"/>
    </row>
    <row r="43" spans="1:12" x14ac:dyDescent="0.3">
      <c r="A43">
        <v>100000000</v>
      </c>
      <c r="B43">
        <v>1</v>
      </c>
      <c r="C43">
        <v>2</v>
      </c>
      <c r="D43">
        <v>3</v>
      </c>
      <c r="E43">
        <v>4</v>
      </c>
      <c r="F43">
        <v>5</v>
      </c>
      <c r="G43">
        <v>6</v>
      </c>
      <c r="H43">
        <v>7</v>
      </c>
      <c r="I43">
        <v>8</v>
      </c>
      <c r="J43">
        <v>9</v>
      </c>
      <c r="K43">
        <v>10</v>
      </c>
      <c r="L43" s="2"/>
    </row>
    <row r="44" spans="1:12" x14ac:dyDescent="0.3">
      <c r="A44" t="s">
        <v>27</v>
      </c>
      <c r="B44">
        <v>111391973</v>
      </c>
      <c r="C44">
        <v>124829305</v>
      </c>
      <c r="D44">
        <v>113925798</v>
      </c>
      <c r="E44">
        <v>114930939</v>
      </c>
      <c r="F44">
        <v>111075781</v>
      </c>
      <c r="G44">
        <v>116215795</v>
      </c>
      <c r="H44">
        <v>111339494</v>
      </c>
      <c r="I44">
        <v>111392978</v>
      </c>
      <c r="J44">
        <v>111075733</v>
      </c>
      <c r="K44">
        <v>114077467</v>
      </c>
      <c r="L44" s="2">
        <f>AVERAGE(B44:K44)</f>
        <v>114025526.3</v>
      </c>
    </row>
    <row r="45" spans="1:12" x14ac:dyDescent="0.3">
      <c r="A45" t="s">
        <v>0</v>
      </c>
      <c r="B45">
        <v>12877398908</v>
      </c>
      <c r="C45">
        <v>12877349498</v>
      </c>
      <c r="D45">
        <v>12877361659</v>
      </c>
      <c r="E45">
        <v>12877376658</v>
      </c>
      <c r="F45">
        <v>12877391440</v>
      </c>
      <c r="G45">
        <v>12877389810</v>
      </c>
      <c r="H45">
        <v>12877351692</v>
      </c>
      <c r="I45">
        <v>12877379557</v>
      </c>
      <c r="J45">
        <v>12877369767</v>
      </c>
      <c r="K45">
        <v>12877346237</v>
      </c>
      <c r="L45" s="2">
        <f t="shared" ref="L45" si="7">AVERAGE(B45:K45)</f>
        <v>12877371522.6</v>
      </c>
    </row>
    <row r="46" spans="1:12" x14ac:dyDescent="0.3">
      <c r="A46" t="s">
        <v>25</v>
      </c>
      <c r="B46">
        <v>7714576689</v>
      </c>
      <c r="C46">
        <v>7714541706</v>
      </c>
      <c r="D46">
        <v>7714562805</v>
      </c>
      <c r="E46">
        <v>7714560804</v>
      </c>
      <c r="F46">
        <v>7714573329</v>
      </c>
      <c r="G46">
        <v>7714573656</v>
      </c>
      <c r="H46">
        <v>7714546941</v>
      </c>
      <c r="I46">
        <v>7714575441</v>
      </c>
      <c r="J46">
        <v>7714558428</v>
      </c>
      <c r="K46">
        <v>7714546644</v>
      </c>
      <c r="L46" s="2">
        <f>AVERAGE(B46:K46)</f>
        <v>7714561644.3000002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427B-330E-47FB-8C1F-78B8F04417F7}">
  <dimension ref="A1:L46"/>
  <sheetViews>
    <sheetView zoomScale="85" zoomScaleNormal="85" workbookViewId="0">
      <selection activeCell="L4" sqref="L4"/>
    </sheetView>
  </sheetViews>
  <sheetFormatPr defaultRowHeight="14.4" x14ac:dyDescent="0.3"/>
  <cols>
    <col min="1" max="1" width="15.6640625" bestFit="1" customWidth="1"/>
    <col min="2" max="2" width="10.88671875" customWidth="1"/>
    <col min="3" max="8" width="11" bestFit="1" customWidth="1"/>
    <col min="9" max="9" width="12" bestFit="1" customWidth="1"/>
    <col min="10" max="11" width="11" bestFit="1" customWidth="1"/>
    <col min="12" max="12" width="15.6640625" style="2" customWidth="1"/>
  </cols>
  <sheetData>
    <row r="1" spans="1:12" x14ac:dyDescent="0.3">
      <c r="A1" s="2" t="s">
        <v>28</v>
      </c>
      <c r="B1">
        <v>10000</v>
      </c>
      <c r="C1">
        <v>50000</v>
      </c>
      <c r="D1">
        <v>100000</v>
      </c>
      <c r="E1">
        <v>500000</v>
      </c>
      <c r="F1">
        <v>1000000</v>
      </c>
      <c r="G1">
        <v>5000000</v>
      </c>
      <c r="H1">
        <v>10000000</v>
      </c>
      <c r="I1">
        <v>100000000</v>
      </c>
    </row>
    <row r="2" spans="1:12" x14ac:dyDescent="0.3">
      <c r="A2" t="s">
        <v>27</v>
      </c>
      <c r="B2">
        <v>2696.1</v>
      </c>
      <c r="C2">
        <v>14650.2</v>
      </c>
      <c r="D2">
        <v>31605.5</v>
      </c>
      <c r="E2">
        <v>196812.79999999999</v>
      </c>
      <c r="F2">
        <v>429462.1</v>
      </c>
      <c r="G2">
        <v>3299513.8</v>
      </c>
      <c r="H2">
        <v>7040680.9000000004</v>
      </c>
      <c r="I2">
        <v>109078766.40000001</v>
      </c>
    </row>
    <row r="3" spans="1:12" x14ac:dyDescent="0.3">
      <c r="A3" t="s">
        <v>0</v>
      </c>
      <c r="B3">
        <v>573968.30000000005</v>
      </c>
      <c r="C3">
        <v>3396621.7</v>
      </c>
      <c r="D3">
        <v>7212624</v>
      </c>
      <c r="E3">
        <v>41305620.200000003</v>
      </c>
      <c r="F3">
        <v>86873845.5</v>
      </c>
      <c r="G3">
        <v>486323267.60000002</v>
      </c>
      <c r="H3">
        <v>1016110796.4</v>
      </c>
      <c r="I3">
        <v>11633280832.700001</v>
      </c>
    </row>
    <row r="4" spans="1:12" x14ac:dyDescent="0.3">
      <c r="A4" t="s">
        <v>1</v>
      </c>
      <c r="B4">
        <v>250541.1</v>
      </c>
      <c r="C4">
        <v>1478409.9</v>
      </c>
      <c r="D4">
        <v>3136524</v>
      </c>
      <c r="E4">
        <v>17929671.899999999</v>
      </c>
      <c r="F4">
        <v>37685945.700000003</v>
      </c>
      <c r="G4">
        <v>210695193</v>
      </c>
      <c r="H4">
        <v>440019852</v>
      </c>
      <c r="I4">
        <v>5031121073.1000004</v>
      </c>
    </row>
    <row r="6" spans="1:12" x14ac:dyDescent="0.3">
      <c r="A6">
        <v>10000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 s="2" t="s">
        <v>26</v>
      </c>
    </row>
    <row r="7" spans="1:12" x14ac:dyDescent="0.3">
      <c r="A7" t="s">
        <v>27</v>
      </c>
      <c r="B7">
        <v>2935</v>
      </c>
      <c r="C7">
        <v>2391</v>
      </c>
      <c r="D7">
        <v>3001</v>
      </c>
      <c r="E7">
        <v>2272</v>
      </c>
      <c r="F7">
        <v>2999</v>
      </c>
      <c r="G7">
        <v>2134</v>
      </c>
      <c r="H7">
        <v>2999</v>
      </c>
      <c r="I7">
        <v>3022</v>
      </c>
      <c r="J7">
        <v>3001</v>
      </c>
      <c r="K7">
        <v>2207</v>
      </c>
      <c r="L7" s="2">
        <f>AVERAGE(B7:K7)</f>
        <v>2696.1</v>
      </c>
    </row>
    <row r="8" spans="1:12" x14ac:dyDescent="0.3">
      <c r="A8" t="s">
        <v>0</v>
      </c>
      <c r="B8">
        <v>573937</v>
      </c>
      <c r="C8">
        <v>573926</v>
      </c>
      <c r="D8">
        <v>573284</v>
      </c>
      <c r="E8">
        <v>574342</v>
      </c>
      <c r="F8">
        <v>574147</v>
      </c>
      <c r="G8">
        <v>573886</v>
      </c>
      <c r="H8">
        <v>574166</v>
      </c>
      <c r="I8">
        <v>573931</v>
      </c>
      <c r="J8">
        <v>573751</v>
      </c>
      <c r="K8">
        <v>574313</v>
      </c>
      <c r="L8" s="2">
        <f t="shared" ref="L8:L9" si="0">AVERAGE(B8:K8)</f>
        <v>573968.30000000005</v>
      </c>
    </row>
    <row r="9" spans="1:12" x14ac:dyDescent="0.3">
      <c r="A9" t="s">
        <v>25</v>
      </c>
      <c r="B9">
        <v>250497</v>
      </c>
      <c r="C9">
        <v>250572</v>
      </c>
      <c r="D9">
        <v>250185</v>
      </c>
      <c r="E9">
        <v>250752</v>
      </c>
      <c r="F9">
        <v>250635</v>
      </c>
      <c r="G9">
        <v>250488</v>
      </c>
      <c r="H9">
        <v>250608</v>
      </c>
      <c r="I9">
        <v>250515</v>
      </c>
      <c r="J9">
        <v>250434</v>
      </c>
      <c r="K9">
        <v>250725</v>
      </c>
      <c r="L9" s="2">
        <f t="shared" si="0"/>
        <v>250541.1</v>
      </c>
    </row>
    <row r="11" spans="1:12" x14ac:dyDescent="0.3">
      <c r="A11">
        <v>50000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 s="2" t="s">
        <v>26</v>
      </c>
    </row>
    <row r="12" spans="1:12" x14ac:dyDescent="0.3">
      <c r="A12" t="s">
        <v>27</v>
      </c>
      <c r="B12">
        <v>14990</v>
      </c>
      <c r="C12">
        <v>14075</v>
      </c>
      <c r="D12">
        <v>14092</v>
      </c>
      <c r="E12">
        <v>14415</v>
      </c>
      <c r="F12">
        <v>14121</v>
      </c>
      <c r="G12">
        <v>14059</v>
      </c>
      <c r="H12">
        <v>14198</v>
      </c>
      <c r="I12">
        <v>17109</v>
      </c>
      <c r="J12">
        <v>15306</v>
      </c>
      <c r="K12">
        <v>14137</v>
      </c>
      <c r="L12" s="2">
        <f>AVERAGE(B12:K12)</f>
        <v>14650.2</v>
      </c>
    </row>
    <row r="13" spans="1:12" x14ac:dyDescent="0.3">
      <c r="A13" t="s">
        <v>0</v>
      </c>
      <c r="B13">
        <v>3395746</v>
      </c>
      <c r="C13">
        <v>3397087</v>
      </c>
      <c r="D13">
        <v>3396076</v>
      </c>
      <c r="E13">
        <v>3396570</v>
      </c>
      <c r="F13">
        <v>3395953</v>
      </c>
      <c r="G13">
        <v>3396814</v>
      </c>
      <c r="H13">
        <v>3397111</v>
      </c>
      <c r="I13">
        <v>3397812</v>
      </c>
      <c r="J13">
        <v>3396280</v>
      </c>
      <c r="K13">
        <v>3396768</v>
      </c>
      <c r="L13" s="2">
        <f t="shared" ref="L13:L14" si="1">AVERAGE(B13:K13)</f>
        <v>3396621.7</v>
      </c>
    </row>
    <row r="14" spans="1:12" x14ac:dyDescent="0.3">
      <c r="A14" t="s">
        <v>25</v>
      </c>
      <c r="B14">
        <v>1478064</v>
      </c>
      <c r="C14">
        <v>1478679</v>
      </c>
      <c r="D14">
        <v>1477995</v>
      </c>
      <c r="E14">
        <v>1478322</v>
      </c>
      <c r="F14">
        <v>1478118</v>
      </c>
      <c r="G14">
        <v>1478532</v>
      </c>
      <c r="H14">
        <v>1478658</v>
      </c>
      <c r="I14">
        <v>1479072</v>
      </c>
      <c r="J14">
        <v>1478187</v>
      </c>
      <c r="K14">
        <v>1478472</v>
      </c>
      <c r="L14" s="2">
        <f t="shared" si="1"/>
        <v>1478409.9</v>
      </c>
    </row>
    <row r="16" spans="1:12" x14ac:dyDescent="0.3">
      <c r="A16">
        <v>100000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 s="2" t="s">
        <v>26</v>
      </c>
    </row>
    <row r="17" spans="1:12" x14ac:dyDescent="0.3">
      <c r="A17" t="s">
        <v>27</v>
      </c>
      <c r="B17">
        <v>31207</v>
      </c>
      <c r="C17">
        <v>32269</v>
      </c>
      <c r="D17">
        <v>31088</v>
      </c>
      <c r="E17">
        <v>30601</v>
      </c>
      <c r="F17">
        <v>30168</v>
      </c>
      <c r="G17">
        <v>31410</v>
      </c>
      <c r="H17">
        <v>36271</v>
      </c>
      <c r="I17">
        <v>31294</v>
      </c>
      <c r="J17">
        <v>30553</v>
      </c>
      <c r="K17">
        <v>31194</v>
      </c>
      <c r="L17" s="2">
        <f>AVERAGE(B17:K17)</f>
        <v>31605.5</v>
      </c>
    </row>
    <row r="18" spans="1:12" x14ac:dyDescent="0.3">
      <c r="A18" t="s">
        <v>0</v>
      </c>
      <c r="B18">
        <v>7212624</v>
      </c>
      <c r="C18">
        <v>7212624</v>
      </c>
      <c r="D18">
        <v>7212624</v>
      </c>
      <c r="E18">
        <v>7212624</v>
      </c>
      <c r="F18">
        <v>7212624</v>
      </c>
      <c r="G18">
        <v>7212624</v>
      </c>
      <c r="H18">
        <v>7212624</v>
      </c>
      <c r="I18">
        <v>7212624</v>
      </c>
      <c r="J18">
        <v>7212624</v>
      </c>
      <c r="K18">
        <v>7212624</v>
      </c>
      <c r="L18" s="2">
        <f t="shared" ref="L18:L19" si="2">AVERAGE(B18:K18)</f>
        <v>7212624</v>
      </c>
    </row>
    <row r="19" spans="1:12" x14ac:dyDescent="0.3">
      <c r="A19" t="s">
        <v>25</v>
      </c>
      <c r="B19">
        <v>3136524</v>
      </c>
      <c r="C19">
        <v>3136524</v>
      </c>
      <c r="D19">
        <v>3136524</v>
      </c>
      <c r="E19">
        <v>3136524</v>
      </c>
      <c r="F19">
        <v>3136524</v>
      </c>
      <c r="G19">
        <v>3136524</v>
      </c>
      <c r="H19">
        <v>3136524</v>
      </c>
      <c r="I19">
        <v>3136524</v>
      </c>
      <c r="J19">
        <v>3136524</v>
      </c>
      <c r="K19">
        <v>3136524</v>
      </c>
      <c r="L19" s="2">
        <f t="shared" si="2"/>
        <v>3136524</v>
      </c>
    </row>
    <row r="21" spans="1:12" x14ac:dyDescent="0.3">
      <c r="A21">
        <v>500000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  <c r="L21" s="2" t="s">
        <v>26</v>
      </c>
    </row>
    <row r="22" spans="1:12" x14ac:dyDescent="0.3">
      <c r="A22" t="s">
        <v>27</v>
      </c>
      <c r="B22">
        <v>188072</v>
      </c>
      <c r="C22">
        <v>194506</v>
      </c>
      <c r="D22">
        <v>189823</v>
      </c>
      <c r="E22">
        <v>196295</v>
      </c>
      <c r="F22">
        <v>201260</v>
      </c>
      <c r="G22">
        <v>208417</v>
      </c>
      <c r="H22">
        <v>214022</v>
      </c>
      <c r="I22">
        <v>191557</v>
      </c>
      <c r="J22">
        <v>191147</v>
      </c>
      <c r="K22">
        <v>193029</v>
      </c>
      <c r="L22" s="2">
        <f>AVERAGE(B22:K22)</f>
        <v>196812.79999999999</v>
      </c>
    </row>
    <row r="23" spans="1:12" x14ac:dyDescent="0.3">
      <c r="A23" t="s">
        <v>0</v>
      </c>
      <c r="B23">
        <v>41304568</v>
      </c>
      <c r="C23">
        <v>41303945</v>
      </c>
      <c r="D23">
        <v>41305573</v>
      </c>
      <c r="E23">
        <v>41303283</v>
      </c>
      <c r="F23">
        <v>41307216</v>
      </c>
      <c r="G23">
        <v>41305258</v>
      </c>
      <c r="H23">
        <v>41305789</v>
      </c>
      <c r="I23">
        <v>41306196</v>
      </c>
      <c r="J23">
        <v>41306087</v>
      </c>
      <c r="K23">
        <v>41308287</v>
      </c>
      <c r="L23" s="2">
        <f>AVERAGE(B23:K23)</f>
        <v>41305620.200000003</v>
      </c>
    </row>
    <row r="24" spans="1:12" x14ac:dyDescent="0.3">
      <c r="A24" t="s">
        <v>25</v>
      </c>
      <c r="B24">
        <v>17929017</v>
      </c>
      <c r="C24">
        <v>17928972</v>
      </c>
      <c r="D24">
        <v>17929590</v>
      </c>
      <c r="E24">
        <v>17927841</v>
      </c>
      <c r="F24">
        <v>17930601</v>
      </c>
      <c r="G24">
        <v>17929929</v>
      </c>
      <c r="H24">
        <v>17930337</v>
      </c>
      <c r="I24">
        <v>17929500</v>
      </c>
      <c r="J24">
        <v>17929794</v>
      </c>
      <c r="K24">
        <v>17931138</v>
      </c>
      <c r="L24" s="2">
        <f t="shared" ref="L24" si="3">AVERAGE(B24:K24)</f>
        <v>17929671.899999999</v>
      </c>
    </row>
    <row r="27" spans="1:12" x14ac:dyDescent="0.3">
      <c r="A27">
        <v>1000000</v>
      </c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  <c r="K27">
        <v>10</v>
      </c>
    </row>
    <row r="28" spans="1:12" x14ac:dyDescent="0.3">
      <c r="A28" t="s">
        <v>27</v>
      </c>
      <c r="B28">
        <v>420291</v>
      </c>
      <c r="C28">
        <v>434033</v>
      </c>
      <c r="D28">
        <v>424573</v>
      </c>
      <c r="E28">
        <v>424709</v>
      </c>
      <c r="F28">
        <v>420226</v>
      </c>
      <c r="G28">
        <v>490514</v>
      </c>
      <c r="H28">
        <v>415756</v>
      </c>
      <c r="I28">
        <v>424510</v>
      </c>
      <c r="J28">
        <v>417615</v>
      </c>
      <c r="K28">
        <v>422394</v>
      </c>
      <c r="L28" s="2">
        <f>AVERAGE(B28:K28)</f>
        <v>429462.1</v>
      </c>
    </row>
    <row r="29" spans="1:12" x14ac:dyDescent="0.3">
      <c r="A29" t="s">
        <v>0</v>
      </c>
      <c r="B29">
        <v>86875060</v>
      </c>
      <c r="C29">
        <v>86878319</v>
      </c>
      <c r="D29">
        <v>86880576</v>
      </c>
      <c r="E29">
        <v>86872230</v>
      </c>
      <c r="F29">
        <v>86874313</v>
      </c>
      <c r="G29">
        <v>86871742</v>
      </c>
      <c r="H29">
        <v>86871414</v>
      </c>
      <c r="I29">
        <v>86871699</v>
      </c>
      <c r="J29">
        <v>86872688</v>
      </c>
      <c r="K29">
        <v>86870414</v>
      </c>
      <c r="L29" s="2">
        <f t="shared" ref="L29:L30" si="4">AVERAGE(B29:K29)</f>
        <v>86873845.5</v>
      </c>
    </row>
    <row r="30" spans="1:12" x14ac:dyDescent="0.3">
      <c r="A30" t="s">
        <v>25</v>
      </c>
      <c r="B30">
        <v>37686816</v>
      </c>
      <c r="C30">
        <v>37687767</v>
      </c>
      <c r="D30">
        <v>37689492</v>
      </c>
      <c r="E30">
        <v>37685133</v>
      </c>
      <c r="F30">
        <v>37686357</v>
      </c>
      <c r="G30">
        <v>37684458</v>
      </c>
      <c r="H30">
        <v>37684737</v>
      </c>
      <c r="I30">
        <v>37685400</v>
      </c>
      <c r="J30">
        <v>37685070</v>
      </c>
      <c r="K30">
        <v>37684227</v>
      </c>
      <c r="L30" s="2">
        <f t="shared" si="4"/>
        <v>37685945.700000003</v>
      </c>
    </row>
    <row r="33" spans="1:12" x14ac:dyDescent="0.3">
      <c r="A33">
        <v>5000000</v>
      </c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</row>
    <row r="34" spans="1:12" x14ac:dyDescent="0.3">
      <c r="A34" t="s">
        <v>27</v>
      </c>
      <c r="B34">
        <v>2877603</v>
      </c>
      <c r="C34">
        <v>2967808</v>
      </c>
      <c r="D34">
        <v>4364441</v>
      </c>
      <c r="E34">
        <v>4422469</v>
      </c>
      <c r="F34">
        <v>3138315</v>
      </c>
      <c r="G34">
        <v>3030758</v>
      </c>
      <c r="H34">
        <v>3097944</v>
      </c>
      <c r="I34">
        <v>3093384</v>
      </c>
      <c r="J34">
        <v>2964510</v>
      </c>
      <c r="K34">
        <v>3037906</v>
      </c>
      <c r="L34" s="2">
        <f>AVERAGE(B34:K34)</f>
        <v>3299513.8</v>
      </c>
    </row>
    <row r="35" spans="1:12" x14ac:dyDescent="0.3">
      <c r="A35" t="s">
        <v>0</v>
      </c>
      <c r="B35">
        <v>486327539</v>
      </c>
      <c r="C35">
        <v>486325392</v>
      </c>
      <c r="D35">
        <v>486320732</v>
      </c>
      <c r="E35">
        <v>486324473</v>
      </c>
      <c r="F35">
        <v>486313725</v>
      </c>
      <c r="G35">
        <v>486332236</v>
      </c>
      <c r="H35">
        <v>486316635</v>
      </c>
      <c r="I35">
        <v>486314846</v>
      </c>
      <c r="J35">
        <v>486332182</v>
      </c>
      <c r="K35">
        <v>486324916</v>
      </c>
      <c r="L35" s="2">
        <f t="shared" ref="L35" si="5">AVERAGE(B35:K35)</f>
        <v>486323267.60000002</v>
      </c>
    </row>
    <row r="36" spans="1:12" x14ac:dyDescent="0.3">
      <c r="A36" t="s">
        <v>25</v>
      </c>
      <c r="B36">
        <v>210698049</v>
      </c>
      <c r="C36">
        <v>210697584</v>
      </c>
      <c r="D36">
        <v>210694767</v>
      </c>
      <c r="E36">
        <v>210695046</v>
      </c>
      <c r="F36">
        <v>210689034</v>
      </c>
      <c r="G36">
        <v>210699456</v>
      </c>
      <c r="H36">
        <v>210692457</v>
      </c>
      <c r="I36">
        <v>210690702</v>
      </c>
      <c r="J36">
        <v>210700074</v>
      </c>
      <c r="K36">
        <v>210694761</v>
      </c>
      <c r="L36" s="2">
        <f>AVERAGE(B36:K36)</f>
        <v>210695193</v>
      </c>
    </row>
    <row r="38" spans="1:12" x14ac:dyDescent="0.3">
      <c r="A38">
        <v>10000000</v>
      </c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</row>
    <row r="39" spans="1:12" x14ac:dyDescent="0.3">
      <c r="A39" t="s">
        <v>27</v>
      </c>
      <c r="B39">
        <v>6979594</v>
      </c>
      <c r="C39">
        <v>6883467</v>
      </c>
      <c r="D39">
        <v>6832281</v>
      </c>
      <c r="E39">
        <v>7052450</v>
      </c>
      <c r="F39">
        <v>6970422</v>
      </c>
      <c r="G39">
        <v>7154239</v>
      </c>
      <c r="H39">
        <v>7089454</v>
      </c>
      <c r="I39">
        <v>7051188</v>
      </c>
      <c r="J39">
        <v>6835687</v>
      </c>
      <c r="K39">
        <v>7558027</v>
      </c>
      <c r="L39" s="2">
        <f>AVERAGE(B39:K39)</f>
        <v>7040680.9000000004</v>
      </c>
    </row>
    <row r="40" spans="1:12" x14ac:dyDescent="0.3">
      <c r="A40" t="s">
        <v>0</v>
      </c>
      <c r="B40">
        <v>1016098889</v>
      </c>
      <c r="C40">
        <v>1016110080</v>
      </c>
      <c r="D40">
        <v>1016128017</v>
      </c>
      <c r="E40">
        <v>1016125018</v>
      </c>
      <c r="F40">
        <v>1016121477</v>
      </c>
      <c r="G40">
        <v>1016095891</v>
      </c>
      <c r="H40">
        <v>1016105290</v>
      </c>
      <c r="I40">
        <v>1016087022</v>
      </c>
      <c r="J40">
        <v>1016106569</v>
      </c>
      <c r="K40">
        <v>1016129711</v>
      </c>
      <c r="L40" s="2">
        <f t="shared" ref="L40" si="6">AVERAGE(B40:K40)</f>
        <v>1016110796.4</v>
      </c>
    </row>
    <row r="41" spans="1:12" x14ac:dyDescent="0.3">
      <c r="A41" t="s">
        <v>25</v>
      </c>
      <c r="B41">
        <v>440014251</v>
      </c>
      <c r="C41">
        <v>440018817</v>
      </c>
      <c r="D41">
        <v>440028012</v>
      </c>
      <c r="E41">
        <v>440027946</v>
      </c>
      <c r="F41">
        <v>440026734</v>
      </c>
      <c r="G41">
        <v>440010930</v>
      </c>
      <c r="H41">
        <v>440017470</v>
      </c>
      <c r="I41">
        <v>440005749</v>
      </c>
      <c r="J41">
        <v>440017341</v>
      </c>
      <c r="K41">
        <v>440031270</v>
      </c>
      <c r="L41" s="2">
        <f>AVERAGE(B41:K41)</f>
        <v>440019852</v>
      </c>
    </row>
    <row r="43" spans="1:12" x14ac:dyDescent="0.3">
      <c r="A43">
        <v>100000000</v>
      </c>
      <c r="B43">
        <v>1</v>
      </c>
      <c r="C43">
        <v>2</v>
      </c>
      <c r="D43">
        <v>3</v>
      </c>
      <c r="E43">
        <v>4</v>
      </c>
      <c r="F43">
        <v>5</v>
      </c>
      <c r="G43">
        <v>6</v>
      </c>
      <c r="H43">
        <v>7</v>
      </c>
      <c r="I43">
        <v>8</v>
      </c>
      <c r="J43">
        <v>9</v>
      </c>
      <c r="K43">
        <v>10</v>
      </c>
    </row>
    <row r="44" spans="1:12" x14ac:dyDescent="0.3">
      <c r="A44" t="s">
        <v>27</v>
      </c>
      <c r="B44">
        <v>112169509</v>
      </c>
      <c r="C44">
        <v>102602823</v>
      </c>
      <c r="D44">
        <v>103536410</v>
      </c>
      <c r="E44">
        <v>107025530</v>
      </c>
      <c r="F44">
        <v>107384646</v>
      </c>
      <c r="G44">
        <v>104227844</v>
      </c>
      <c r="H44">
        <v>103743450</v>
      </c>
      <c r="I44">
        <v>117397319</v>
      </c>
      <c r="J44">
        <v>123683383</v>
      </c>
      <c r="K44">
        <v>109016750</v>
      </c>
      <c r="L44" s="2">
        <f>AVERAGE(B44:K44)</f>
        <v>109078766.40000001</v>
      </c>
    </row>
    <row r="45" spans="1:12" x14ac:dyDescent="0.3">
      <c r="A45" t="s">
        <v>0</v>
      </c>
      <c r="B45">
        <v>11633271491</v>
      </c>
      <c r="C45">
        <v>11633280558</v>
      </c>
      <c r="D45">
        <v>11633275926</v>
      </c>
      <c r="E45">
        <v>11633301966</v>
      </c>
      <c r="F45">
        <v>11633316077</v>
      </c>
      <c r="G45">
        <v>11633276784</v>
      </c>
      <c r="H45">
        <v>11633244501</v>
      </c>
      <c r="I45">
        <v>11633297158</v>
      </c>
      <c r="J45">
        <v>11633299591</v>
      </c>
      <c r="K45">
        <v>11633244275</v>
      </c>
      <c r="L45" s="2">
        <f t="shared" ref="L45" si="7">AVERAGE(B45:K45)</f>
        <v>11633280832.700001</v>
      </c>
    </row>
    <row r="46" spans="1:12" x14ac:dyDescent="0.3">
      <c r="A46" t="s">
        <v>25</v>
      </c>
      <c r="B46">
        <v>5031116148</v>
      </c>
      <c r="C46">
        <v>5031126765</v>
      </c>
      <c r="D46">
        <v>5031124296</v>
      </c>
      <c r="E46">
        <v>5031129216</v>
      </c>
      <c r="F46">
        <v>5031136710</v>
      </c>
      <c r="G46">
        <v>5031113862</v>
      </c>
      <c r="H46">
        <v>5031105225</v>
      </c>
      <c r="I46">
        <v>5031134070</v>
      </c>
      <c r="J46">
        <v>5031128790</v>
      </c>
      <c r="K46">
        <v>5031095649</v>
      </c>
      <c r="L46" s="2">
        <f>AVERAGE(B46:K46)</f>
        <v>5031121073.1000004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6DF733-69CF-47B1-BD37-74FABCF66C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insertion sort</vt:lpstr>
      <vt:lpstr>IS srednia dla b duzych</vt:lpstr>
      <vt:lpstr>ISM srednia dla b duzych</vt:lpstr>
      <vt:lpstr>merge sort</vt:lpstr>
      <vt:lpstr>MS srednia dla b duzych</vt:lpstr>
      <vt:lpstr>MSM srednia dla b duzych</vt:lpstr>
      <vt:lpstr>heap sort</vt:lpstr>
      <vt:lpstr>HS srednia dla b duzych</vt:lpstr>
      <vt:lpstr>HSM srednia dla b duzych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</dc:creator>
  <cp:lastModifiedBy>Aleksandra Cichecka (287362)</cp:lastModifiedBy>
  <dcterms:created xsi:type="dcterms:W3CDTF">2015-06-05T18:19:34Z</dcterms:created>
  <dcterms:modified xsi:type="dcterms:W3CDTF">2025-10-27T20:01:25Z</dcterms:modified>
</cp:coreProperties>
</file>